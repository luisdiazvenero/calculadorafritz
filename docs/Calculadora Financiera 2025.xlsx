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riginal 2" sheetId="1" r:id="rId5"/>
    <sheet state="visible" name="CAPITAL" sheetId="2" r:id="rId6"/>
    <sheet state="visible" name="ORIENTE" sheetId="3" r:id="rId7"/>
    <sheet state="visible" name="CENTRO" sheetId="4" r:id="rId8"/>
    <sheet state="visible" name="CENTROOCCIDENTE" sheetId="5" r:id="rId9"/>
    <sheet state="visible" name="OCCIDENTE" sheetId="6" r:id="rId10"/>
    <sheet state="visible" name="ANDES" sheetId="7" r:id="rId11"/>
  </sheets>
  <definedNames/>
  <calcPr/>
</workbook>
</file>

<file path=xl/sharedStrings.xml><?xml version="1.0" encoding="utf-8"?>
<sst xmlns="http://schemas.openxmlformats.org/spreadsheetml/2006/main" count="1501" uniqueCount="116">
  <si>
    <t>CALCULADORA DE METRICAS</t>
  </si>
  <si>
    <t>Periodo a definir: Del 1 de Sept al 31 de Noviembre</t>
  </si>
  <si>
    <t>Base Inicial</t>
  </si>
  <si>
    <t>Variación</t>
  </si>
  <si>
    <t>Metas</t>
  </si>
  <si>
    <t>Total cartera del Cliente</t>
  </si>
  <si>
    <t>Total Cartera</t>
  </si>
  <si>
    <t>% de Activacion actual</t>
  </si>
  <si>
    <t>Activados</t>
  </si>
  <si>
    <t>% de clientes con Fritz actual</t>
  </si>
  <si>
    <t>Clientes con Fritz</t>
  </si>
  <si>
    <t>% de Incremento Clientes Activos</t>
  </si>
  <si>
    <t>Número de Skus</t>
  </si>
  <si>
    <t>% de Incremento con Fritz</t>
  </si>
  <si>
    <t>Cajas Sell Out</t>
  </si>
  <si>
    <t>Total SKUs FRITZ en portafolio</t>
  </si>
  <si>
    <t>Clientes Prom x Vendedor</t>
  </si>
  <si>
    <t>% de Incremento SKUs</t>
  </si>
  <si>
    <t>Cajas Prom x Cliente</t>
  </si>
  <si>
    <t>Cajas promedio</t>
  </si>
  <si>
    <t>Incremento Vendedores</t>
  </si>
  <si>
    <t>% de Incremento Sell Out</t>
  </si>
  <si>
    <t>Cajas Prom x Vendedor</t>
  </si>
  <si>
    <t># de Vendedores</t>
  </si>
  <si>
    <t>% de incremento Vendedores</t>
  </si>
  <si>
    <t>COMENTARIOS ADICIONALES</t>
  </si>
  <si>
    <t>Periodo a definir: Del 1 de Sept al 30 de Noviembre</t>
  </si>
  <si>
    <t>CLIENTE: DIFRITZ</t>
  </si>
  <si>
    <t>50%</t>
  </si>
  <si>
    <t>Cajas Sell In</t>
  </si>
  <si>
    <t>Rentabilidad aprox final periodo</t>
  </si>
  <si>
    <t>Margen de Ganacia del Distribuidor</t>
  </si>
  <si>
    <t>Rebate al final del periodo</t>
  </si>
  <si>
    <t>Rebate</t>
  </si>
  <si>
    <t xml:space="preserve"> </t>
  </si>
  <si>
    <t>CLIENTE: COSTA NORTE</t>
  </si>
  <si>
    <t>mas de la mitad</t>
  </si>
  <si>
    <t>CLIENTE: GRAN ATLANTICO</t>
  </si>
  <si>
    <t>menos de la mitad</t>
  </si>
  <si>
    <t>CLIENTE: AROCHA</t>
  </si>
  <si>
    <t>CLIENTE: GRUPO SONREIR</t>
  </si>
  <si>
    <t>CLIENTE: DI SANTINO</t>
  </si>
  <si>
    <t>más de la mitad</t>
  </si>
  <si>
    <t>% Rebate</t>
  </si>
  <si>
    <t>COMENTARIOS ADICIONALES:  CUOTA EN BASE A TODO EL TERRITORIO DEL ESTADO MONAGAS</t>
  </si>
  <si>
    <t>NO VA</t>
  </si>
  <si>
    <t>CLIENTE: EL NOVILLO</t>
  </si>
  <si>
    <t>CLIENTE: MAYAM</t>
  </si>
  <si>
    <t>157 COMPRO SOLO EN MAYO</t>
  </si>
  <si>
    <t>COMENTARIOS ADICIONALES:  Isla de Margarita</t>
  </si>
  <si>
    <t>CLIENTE: NRJ</t>
  </si>
  <si>
    <t>CLIENTE: MAXITORQUE</t>
  </si>
  <si>
    <t>CLIENTE: ZOZO</t>
  </si>
  <si>
    <t>CLIENTE: F&amp;S DISTRIBUCION</t>
  </si>
  <si>
    <r>
      <rPr>
        <rFont val="Arial"/>
        <b/>
        <strike/>
        <color rgb="FFFF0000"/>
        <sz val="17.0"/>
      </rPr>
      <t>CALCULADORA DE METRICAS.</t>
    </r>
    <r>
      <rPr>
        <rFont val="Arial"/>
        <b/>
        <color rgb="FFFF0000"/>
        <sz val="17.0"/>
      </rPr>
      <t xml:space="preserve">  PASA A LISTA 2 </t>
    </r>
  </si>
  <si>
    <t>CLIENTE: F&amp;S ORIENTE</t>
  </si>
  <si>
    <t>CLIENTE: DISTRIMAX</t>
  </si>
  <si>
    <t>CLIENTE: JJM</t>
  </si>
  <si>
    <t>CLIENTE: TODO SUR</t>
  </si>
  <si>
    <t>COMENTARIOS ADICIONALES: NO VA PASA A LISTA 2</t>
  </si>
  <si>
    <t>CLIENTE: LOS SAMANES</t>
  </si>
  <si>
    <t>CLIENTE: EXCELENCIA OLA</t>
  </si>
  <si>
    <t>104 COMPRÓ SOLO EN AGOSTO</t>
  </si>
  <si>
    <t>FALTA LLENAR CON LOS DATOS DEL DISTRIBUIDOR JM</t>
  </si>
  <si>
    <t>Periodo a definir: Del 1 de enero al 31 de marzo 2026</t>
  </si>
  <si>
    <t>CLIENTE: DISTIBUIDORA JM, C.A.</t>
  </si>
  <si>
    <t>CLIENTE: DIMONCA</t>
  </si>
  <si>
    <t>DIMONCA</t>
  </si>
  <si>
    <t>CLIENTE:ROMAR R&amp;B</t>
  </si>
  <si>
    <t>ROMAR R&amp;B</t>
  </si>
  <si>
    <t>CLIENTE:AGROD DON MANUEL</t>
  </si>
  <si>
    <t>DON MANUEL</t>
  </si>
  <si>
    <t>MARIMAR</t>
  </si>
  <si>
    <t>CLIENTE:MARIMAR</t>
  </si>
  <si>
    <t>DELILUSO</t>
  </si>
  <si>
    <r>
      <rPr>
        <rFont val="Arial"/>
        <b/>
        <strike/>
        <color rgb="FFFF0000"/>
        <sz val="17.0"/>
      </rPr>
      <t>CALCULADORA DE METRICAS.</t>
    </r>
    <r>
      <rPr>
        <rFont val="Arial"/>
        <b/>
        <color rgb="FFFF0000"/>
        <sz val="17.0"/>
      </rPr>
      <t xml:space="preserve">  PASA A LISTA 2 </t>
    </r>
  </si>
  <si>
    <t>CLIENTE:DELILUSO</t>
  </si>
  <si>
    <t>TRALODI</t>
  </si>
  <si>
    <t>CLIENTE:TRALODI</t>
  </si>
  <si>
    <t>CLIENTE: LA CAMPIRANA 2022, C.A</t>
  </si>
  <si>
    <t>CLIENTE: DISTRIBUIDORA VIVELAC, C.A.</t>
  </si>
  <si>
    <t>CLIENTE: LOARI</t>
  </si>
  <si>
    <r>
      <rPr>
        <rFont val="Arial"/>
        <b/>
        <strike/>
        <color rgb="FFFF0000"/>
        <sz val="17.0"/>
      </rPr>
      <t>CALCULADORA DE METRICAS.</t>
    </r>
    <r>
      <rPr>
        <rFont val="Arial"/>
        <b/>
        <color rgb="FFFF0000"/>
        <sz val="17.0"/>
      </rPr>
      <t xml:space="preserve">  PASA A LISTA 2 </t>
    </r>
  </si>
  <si>
    <t>CLIENTE: Koach</t>
  </si>
  <si>
    <t>CLIENTE: UNO PLUS DISTRIBUCIONES</t>
  </si>
  <si>
    <t>MODIFICAR CON LOS DATOS DEL CLIENTE</t>
  </si>
  <si>
    <t>Periodo a definir: Del XX de MES al XX de MES 2026</t>
  </si>
  <si>
    <t>CLIENTE: Distribuidora Yonlui, C.A.</t>
  </si>
  <si>
    <t>CLIENTE: Comercializadora Cianfar, C.A.</t>
  </si>
  <si>
    <r>
      <rPr>
        <rFont val="Arial"/>
        <b/>
        <strike/>
        <color rgb="FFFF0000"/>
        <sz val="17.0"/>
      </rPr>
      <t>CALCULADORA DE METRICAS.</t>
    </r>
    <r>
      <rPr>
        <rFont val="Arial"/>
        <b/>
        <color rgb="FFFF0000"/>
        <sz val="17.0"/>
      </rPr>
      <t xml:space="preserve">  PASA A LISTA 2 </t>
    </r>
  </si>
  <si>
    <t>CLIENTE: J41072402 - HECHOS DISTRIBUCIONES,C.A</t>
  </si>
  <si>
    <t xml:space="preserve">CLIENTE: J500687702 - RIVEGA FALCON CA </t>
  </si>
  <si>
    <t>CLIENTE: J294650740 - CORPORACION DE ALIMENTOS EL MENE, C.A</t>
  </si>
  <si>
    <t xml:space="preserve">CLIENTE: J501099723 - ALIMENTOS LUNA, C.A </t>
  </si>
  <si>
    <r>
      <rPr>
        <rFont val="Arial"/>
        <b/>
        <strike/>
        <color rgb="FFFF0000"/>
        <sz val="17.0"/>
      </rPr>
      <t>CALCULADORA DE METRICAS.</t>
    </r>
    <r>
      <rPr>
        <rFont val="Arial"/>
        <b/>
        <color rgb="FFFF0000"/>
        <sz val="17.0"/>
      </rPr>
      <t xml:space="preserve">  PASA A LISTA 2 </t>
    </r>
  </si>
  <si>
    <r>
      <rPr>
        <rFont val="Arial"/>
        <b/>
        <strike/>
        <color rgb="FFFF0000"/>
        <sz val="17.0"/>
      </rPr>
      <t>CALCULADORA DE METRICAS.</t>
    </r>
    <r>
      <rPr>
        <rFont val="Arial"/>
        <b/>
        <color rgb="FFFF0000"/>
        <sz val="17.0"/>
      </rPr>
      <t xml:space="preserve">  PASA A LISTA 2 </t>
    </r>
  </si>
  <si>
    <t>CLIENTE:  J403825246 - INVERSIONES DOÑA DILA, C.A</t>
  </si>
  <si>
    <t>CLIENTE: J505472810 - CORPORACION DE ALIMENTOS LA OCCIDENTAL "COROCCIDENTAL", C.A</t>
  </si>
  <si>
    <t>CLIENTE: Maxi Distribuciones Paraguaná, C.A.</t>
  </si>
  <si>
    <t>CLIENTE:  DISTRIBUIDORA DOÑA TERESITA</t>
  </si>
  <si>
    <t>COMENTARIOS ADICIONALES: DISTRIBUIDORA DOÑA TERESITA</t>
  </si>
  <si>
    <r>
      <rPr>
        <rFont val="Arial"/>
        <b/>
        <strike/>
        <color rgb="FFFF0000"/>
        <sz val="17.0"/>
      </rPr>
      <t>CALCULADORA DE METRICAS.</t>
    </r>
    <r>
      <rPr>
        <rFont val="Arial"/>
        <b/>
        <color rgb="FFFF0000"/>
        <sz val="17.0"/>
      </rPr>
      <t xml:space="preserve">  PASA A LISTA 2 </t>
    </r>
  </si>
  <si>
    <t>CLIENTE:  DISTRIBUIDORA DALANMAR</t>
  </si>
  <si>
    <t>COMENTARIOS ADICIONALES: DISTRIBUIDORA DALANMAR</t>
  </si>
  <si>
    <t>CLIENTE: COMERCIALIZADORA ANDASEB</t>
  </si>
  <si>
    <t>COMENTARIOS ADICIONALES: COMERCIALIZADORA ANDASEB</t>
  </si>
  <si>
    <t>CLIENTE: DISTRIBUIDORA ANDALUCIA</t>
  </si>
  <si>
    <t>COMENTARIOS ADICIONALES: DISTRIBUIDORA ANDALUCIA</t>
  </si>
  <si>
    <t>Periodo a definir: Del 1 de DICIEMBRE al 28 de FEBRERO</t>
  </si>
  <si>
    <t>CLIENTE: ARASIMPORT</t>
  </si>
  <si>
    <t>COMENTARIOS ADICIONALES: TATOSS EXPRESS</t>
  </si>
  <si>
    <t>Periodo a definir: Del 1 de ENERO al 31 de MARZO 2026</t>
  </si>
  <si>
    <t>CLIENTE: TATOOS EXPRESS</t>
  </si>
  <si>
    <t>FALTA COLOCAR LOS DATOS</t>
  </si>
  <si>
    <t>CLIENTE: DISERMAT</t>
  </si>
  <si>
    <t>COMENTARIOS ADICIONALES: DISERMAT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</si>
</sst>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0.0%"/>
  </numFmts>
  <fonts count="3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7.0"/>
      <color theme="1"/>
      <name val="Arial"/>
      <scheme val="minor"/>
    </font>
    <font/>
    <font>
      <color theme="1"/>
      <name val="Arial"/>
      <scheme val="minor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sz val="9.0"/>
      <color rgb="FFFFFFFF"/>
      <name val="Arial"/>
      <scheme val="minor"/>
    </font>
    <font>
      <color rgb="FFFFFFFF"/>
      <name val="Arial"/>
      <scheme val="minor"/>
    </font>
    <font>
      <sz val="9.0"/>
      <color theme="1"/>
      <name val="Arial"/>
      <scheme val="minor"/>
    </font>
    <font>
      <b/>
      <color rgb="FFFFFFFF"/>
      <name val="Arial"/>
      <scheme val="minor"/>
    </font>
    <font>
      <b/>
      <sz val="9.0"/>
      <color rgb="FFFFFFFF"/>
      <name val="Arial"/>
      <scheme val="minor"/>
    </font>
    <font>
      <b/>
      <sz val="15.0"/>
      <color theme="0"/>
      <name val="Arial"/>
      <scheme val="minor"/>
    </font>
    <font>
      <color theme="0"/>
      <name val="Arial"/>
      <scheme val="minor"/>
    </font>
    <font>
      <b/>
      <color rgb="FFFFFFFF"/>
      <name val="Arial"/>
    </font>
    <font>
      <sz val="8.0"/>
      <color rgb="FFFFFFFF"/>
      <name val="Arial"/>
      <scheme val="minor"/>
    </font>
    <font>
      <b/>
      <color theme="0"/>
      <name val="Arial"/>
      <scheme val="minor"/>
    </font>
    <font>
      <b/>
      <color theme="1"/>
      <name val="Arial"/>
    </font>
    <font>
      <color theme="1"/>
      <name val="Arial"/>
    </font>
    <font>
      <b/>
      <sz val="9.0"/>
      <color rgb="FF000000"/>
      <name val="Arial"/>
      <scheme val="minor"/>
    </font>
    <font>
      <b/>
      <sz val="9.0"/>
      <color rgb="FF000000"/>
      <name val="Arial"/>
    </font>
    <font>
      <sz val="9.0"/>
      <color rgb="FFFFFFFF"/>
      <name val="Arial"/>
    </font>
    <font>
      <sz val="9.0"/>
      <color rgb="FF000000"/>
      <name val="Arial"/>
    </font>
    <font>
      <b/>
      <sz val="9.0"/>
      <color rgb="FFFFFFFF"/>
      <name val="Arial"/>
    </font>
    <font>
      <b/>
      <sz val="17.0"/>
      <color theme="0"/>
      <name val="Arial"/>
      <scheme val="minor"/>
    </font>
    <font>
      <b/>
      <sz val="17.0"/>
      <color rgb="FFFF0000"/>
      <name val="Arial"/>
      <scheme val="minor"/>
    </font>
    <font>
      <b/>
      <sz val="17.0"/>
      <color theme="1"/>
      <name val="Arial"/>
    </font>
    <font>
      <sz val="10.0"/>
      <color theme="1"/>
      <name val="Arial"/>
      <scheme val="minor"/>
    </font>
    <font>
      <b/>
      <sz val="17.0"/>
      <color theme="0"/>
      <name val="Arial"/>
    </font>
    <font>
      <b/>
      <color rgb="FF000000"/>
      <name val="Arial"/>
      <scheme val="minor"/>
    </font>
    <font>
      <color theme="0"/>
      <name val="Arial"/>
    </font>
    <font>
      <b/>
      <sz val="9.0"/>
      <color theme="1"/>
      <name val="Arial"/>
    </font>
    <font>
      <color rgb="FFFFFFFF"/>
      <name val="Arial"/>
    </font>
    <font>
      <sz val="9.0"/>
      <color theme="1"/>
      <name val="Arial"/>
    </font>
    <font>
      <color rgb="FF434343"/>
      <name val="Arial"/>
    </font>
    <font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42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2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0" fontId="4" numFmtId="0" xfId="0" applyAlignment="1" applyFont="1">
      <alignment horizontal="center"/>
    </xf>
    <xf borderId="7" fillId="2" fontId="5" numFmtId="0" xfId="0" applyAlignment="1" applyBorder="1" applyFill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0" fontId="6" numFmtId="0" xfId="0" applyAlignment="1" applyBorder="1" applyFont="1">
      <alignment horizontal="center" readingOrder="0" shrinkToFit="0" vertical="center" wrapText="1"/>
    </xf>
    <xf borderId="10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1" fillId="3" fontId="5" numFmtId="0" xfId="0" applyAlignment="1" applyBorder="1" applyFill="1" applyFont="1">
      <alignment horizontal="center" readingOrder="0" shrinkToFit="0" vertical="center" wrapText="1"/>
    </xf>
    <xf borderId="7" fillId="3" fontId="5" numFmtId="0" xfId="0" applyAlignment="1" applyBorder="1" applyFont="1">
      <alignment horizontal="left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13" fillId="0" fontId="3" numFmtId="0" xfId="0" applyBorder="1" applyFont="1"/>
    <xf borderId="14" fillId="3" fontId="4" numFmtId="0" xfId="0" applyAlignment="1" applyBorder="1" applyFont="1">
      <alignment horizontal="center" readingOrder="0"/>
    </xf>
    <xf borderId="15" fillId="2" fontId="7" numFmtId="9" xfId="0" applyAlignment="1" applyBorder="1" applyFont="1" applyNumberFormat="1">
      <alignment horizontal="center" readingOrder="0" shrinkToFit="0" vertical="center" wrapText="1"/>
    </xf>
    <xf borderId="16" fillId="0" fontId="6" numFmtId="3" xfId="0" applyAlignment="1" applyBorder="1" applyFont="1" applyNumberFormat="1">
      <alignment horizontal="center" shrinkToFit="0" vertical="center" wrapText="1"/>
    </xf>
    <xf borderId="11" fillId="4" fontId="8" numFmtId="0" xfId="0" applyAlignment="1" applyBorder="1" applyFill="1" applyFont="1">
      <alignment horizontal="center" readingOrder="0" shrinkToFit="0" vertical="center" wrapText="1"/>
    </xf>
    <xf borderId="7" fillId="4" fontId="8" numFmtId="0" xfId="0" applyAlignment="1" applyBorder="1" applyFont="1">
      <alignment horizontal="left" readingOrder="0" shrinkToFit="0" vertical="center" wrapText="1"/>
    </xf>
    <xf borderId="11" fillId="4" fontId="8" numFmtId="9" xfId="0" applyAlignment="1" applyBorder="1" applyFont="1" applyNumberFormat="1">
      <alignment horizontal="center" readingOrder="0" shrinkToFit="0" vertical="center" wrapText="1"/>
    </xf>
    <xf borderId="17" fillId="0" fontId="6" numFmtId="0" xfId="0" applyAlignment="1" applyBorder="1" applyFont="1">
      <alignment horizontal="center" readingOrder="0" shrinkToFit="0" vertical="center" wrapText="1"/>
    </xf>
    <xf borderId="18" fillId="0" fontId="3" numFmtId="0" xfId="0" applyBorder="1" applyFont="1"/>
    <xf borderId="19" fillId="4" fontId="9" numFmtId="1" xfId="0" applyAlignment="1" applyBorder="1" applyFont="1" applyNumberFormat="1">
      <alignment horizontal="center" readingOrder="0" shrinkToFit="0" vertical="center" wrapText="1"/>
    </xf>
    <xf borderId="20" fillId="4" fontId="9" numFmtId="9" xfId="0" applyAlignment="1" applyBorder="1" applyFont="1" applyNumberFormat="1">
      <alignment horizontal="center" shrinkToFit="0" vertical="center" wrapText="1"/>
    </xf>
    <xf borderId="21" fillId="5" fontId="6" numFmtId="3" xfId="0" applyAlignment="1" applyBorder="1" applyFill="1" applyFont="1" applyNumberFormat="1">
      <alignment horizontal="center" readingOrder="0" shrinkToFit="0" vertical="center" wrapText="1"/>
    </xf>
    <xf borderId="11" fillId="6" fontId="8" numFmtId="0" xfId="0" applyAlignment="1" applyBorder="1" applyFill="1" applyFont="1">
      <alignment horizontal="center" readingOrder="0" shrinkToFit="0" vertical="center" wrapText="1"/>
    </xf>
    <xf borderId="7" fillId="6" fontId="8" numFmtId="0" xfId="0" applyAlignment="1" applyBorder="1" applyFont="1">
      <alignment horizontal="left" readingOrder="0" shrinkToFit="0" vertical="center" wrapText="1"/>
    </xf>
    <xf borderId="11" fillId="6" fontId="8" numFmtId="9" xfId="0" applyAlignment="1" applyBorder="1" applyFont="1" applyNumberFormat="1">
      <alignment horizontal="center" readingOrder="0" shrinkToFit="0" vertical="center" wrapText="1"/>
    </xf>
    <xf borderId="19" fillId="6" fontId="9" numFmtId="1" xfId="0" applyAlignment="1" applyBorder="1" applyFont="1" applyNumberFormat="1">
      <alignment horizontal="center" readingOrder="0" shrinkToFit="0" vertical="center" wrapText="1"/>
    </xf>
    <xf borderId="20" fillId="6" fontId="9" numFmtId="9" xfId="0" applyAlignment="1" applyBorder="1" applyFont="1" applyNumberFormat="1">
      <alignment horizontal="center" readingOrder="0" shrinkToFit="0" vertical="center" wrapText="1"/>
    </xf>
    <xf borderId="21" fillId="7" fontId="6" numFmtId="3" xfId="0" applyAlignment="1" applyBorder="1" applyFill="1" applyFont="1" applyNumberFormat="1">
      <alignment horizontal="center" readingOrder="0" shrinkToFit="0" vertical="center" wrapText="1"/>
    </xf>
    <xf borderId="11" fillId="5" fontId="10" numFmtId="0" xfId="0" applyAlignment="1" applyBorder="1" applyFont="1">
      <alignment horizontal="center" readingOrder="0" shrinkToFit="0" vertical="center" wrapText="1"/>
    </xf>
    <xf borderId="7" fillId="5" fontId="10" numFmtId="0" xfId="0" applyAlignment="1" applyBorder="1" applyFont="1">
      <alignment horizontal="left" readingOrder="0" shrinkToFit="0" vertical="center" wrapText="1"/>
    </xf>
    <xf borderId="11" fillId="5" fontId="10" numFmtId="9" xfId="0" applyAlignment="1" applyBorder="1" applyFont="1" applyNumberFormat="1">
      <alignment horizontal="center" readingOrder="0" shrinkToFit="0" vertical="center" wrapText="1"/>
    </xf>
    <xf borderId="19" fillId="8" fontId="9" numFmtId="3" xfId="0" applyAlignment="1" applyBorder="1" applyFill="1" applyFont="1" applyNumberFormat="1">
      <alignment horizontal="center" readingOrder="0" shrinkToFit="0" vertical="center" wrapText="1"/>
    </xf>
    <xf borderId="20" fillId="8" fontId="9" numFmtId="9" xfId="0" applyAlignment="1" applyBorder="1" applyFont="1" applyNumberFormat="1">
      <alignment horizontal="center" shrinkToFit="0" vertical="center" wrapText="1"/>
    </xf>
    <xf borderId="22" fillId="8" fontId="11" numFmtId="3" xfId="0" applyAlignment="1" applyBorder="1" applyFont="1" applyNumberFormat="1">
      <alignment horizontal="center" shrinkToFit="0" vertical="center" wrapText="1"/>
    </xf>
    <xf borderId="11" fillId="7" fontId="10" numFmtId="0" xfId="0" applyAlignment="1" applyBorder="1" applyFont="1">
      <alignment horizontal="center" readingOrder="0" shrinkToFit="0" vertical="center" wrapText="1"/>
    </xf>
    <xf borderId="7" fillId="7" fontId="10" numFmtId="0" xfId="0" applyAlignment="1" applyBorder="1" applyFont="1">
      <alignment horizontal="left" readingOrder="0" shrinkToFit="0" vertical="center" wrapText="1"/>
    </xf>
    <xf borderId="11" fillId="7" fontId="10" numFmtId="9" xfId="0" applyAlignment="1" applyBorder="1" applyFont="1" applyNumberFormat="1">
      <alignment horizontal="center" readingOrder="0" shrinkToFit="0" vertical="center" wrapText="1"/>
    </xf>
    <xf borderId="23" fillId="9" fontId="9" numFmtId="3" xfId="0" applyAlignment="1" applyBorder="1" applyFill="1" applyFont="1" applyNumberFormat="1">
      <alignment horizontal="center" shrinkToFit="0" vertical="center" wrapText="1"/>
    </xf>
    <xf borderId="24" fillId="9" fontId="9" numFmtId="9" xfId="0" applyAlignment="1" applyBorder="1" applyFont="1" applyNumberFormat="1">
      <alignment horizontal="center" shrinkToFit="0" vertical="center" wrapText="1"/>
    </xf>
    <xf borderId="22" fillId="9" fontId="11" numFmtId="3" xfId="0" applyAlignment="1" applyBorder="1" applyFont="1" applyNumberFormat="1">
      <alignment horizontal="center" shrinkToFit="0" vertical="center" wrapText="1"/>
    </xf>
    <xf borderId="11" fillId="8" fontId="12" numFmtId="0" xfId="0" applyAlignment="1" applyBorder="1" applyFont="1">
      <alignment horizontal="center" readingOrder="0" shrinkToFit="0" vertical="center" wrapText="1"/>
    </xf>
    <xf borderId="7" fillId="8" fontId="12" numFmtId="0" xfId="0" applyAlignment="1" applyBorder="1" applyFont="1">
      <alignment horizontal="left" readingOrder="0" shrinkToFit="0" vertical="center" wrapText="1"/>
    </xf>
    <xf borderId="11" fillId="8" fontId="12" numFmtId="3" xfId="0" applyAlignment="1" applyBorder="1" applyFont="1" applyNumberFormat="1">
      <alignment horizontal="center" readingOrder="0" shrinkToFit="0" vertical="center" wrapText="1"/>
    </xf>
    <xf borderId="24" fillId="2" fontId="9" numFmtId="9" xfId="0" applyAlignment="1" applyBorder="1" applyFont="1" applyNumberFormat="1">
      <alignment horizontal="center" shrinkToFit="0" vertical="center" wrapText="1"/>
    </xf>
    <xf borderId="11" fillId="8" fontId="12" numFmtId="9" xfId="0" applyAlignment="1" applyBorder="1" applyFont="1" applyNumberFormat="1">
      <alignment horizontal="center" readingOrder="0" shrinkToFit="0" vertical="center" wrapText="1"/>
    </xf>
    <xf borderId="23" fillId="9" fontId="9" numFmtId="164" xfId="0" applyAlignment="1" applyBorder="1" applyFont="1" applyNumberFormat="1">
      <alignment horizontal="center" shrinkToFit="0" vertical="center" wrapText="1"/>
    </xf>
    <xf borderId="22" fillId="9" fontId="11" numFmtId="164" xfId="0" applyAlignment="1" applyBorder="1" applyFont="1" applyNumberFormat="1">
      <alignment horizontal="center" shrinkToFit="0" vertical="center" wrapText="1"/>
    </xf>
    <xf borderId="11" fillId="9" fontId="12" numFmtId="0" xfId="0" applyAlignment="1" applyBorder="1" applyFont="1">
      <alignment horizontal="center" readingOrder="0" shrinkToFit="0" vertical="center" wrapText="1"/>
    </xf>
    <xf borderId="7" fillId="9" fontId="12" numFmtId="0" xfId="0" applyAlignment="1" applyBorder="1" applyFont="1">
      <alignment horizontal="left" readingOrder="0" shrinkToFit="0" vertical="center" wrapText="1"/>
    </xf>
    <xf borderId="11" fillId="9" fontId="12" numFmtId="3" xfId="0" applyAlignment="1" applyBorder="1" applyFont="1" applyNumberFormat="1">
      <alignment horizontal="center" readingOrder="0" shrinkToFit="0" vertical="center" wrapText="1"/>
    </xf>
    <xf borderId="0" fillId="0" fontId="6" numFmtId="3" xfId="0" applyAlignment="1" applyFont="1" applyNumberFormat="1">
      <alignment horizontal="center" shrinkToFit="0" vertical="center" wrapText="1"/>
    </xf>
    <xf borderId="23" fillId="2" fontId="9" numFmtId="3" xfId="0" applyAlignment="1" applyBorder="1" applyFont="1" applyNumberFormat="1">
      <alignment horizontal="center" shrinkToFit="0" vertical="center" wrapText="1"/>
    </xf>
    <xf borderId="11" fillId="9" fontId="12" numFmtId="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26" fillId="0" fontId="3" numFmtId="0" xfId="0" applyBorder="1" applyFont="1"/>
    <xf borderId="27" fillId="0" fontId="4" numFmtId="0" xfId="0" applyAlignment="1" applyBorder="1" applyFont="1">
      <alignment horizontal="center" shrinkToFit="0" vertical="center" wrapText="1"/>
    </xf>
    <xf borderId="28" fillId="0" fontId="4" numFmtId="9" xfId="0" applyAlignment="1" applyBorder="1" applyFont="1" applyNumberFormat="1">
      <alignment horizontal="center" shrinkToFit="0" vertical="center" wrapText="1"/>
    </xf>
    <xf borderId="29" fillId="0" fontId="6" numFmtId="3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readingOrder="0" vertical="top"/>
    </xf>
    <xf borderId="0" fillId="0" fontId="6" numFmtId="0" xfId="0" applyAlignment="1" applyFont="1">
      <alignment horizontal="center"/>
    </xf>
    <xf borderId="0" fillId="2" fontId="13" numFmtId="0" xfId="0" applyAlignment="1" applyFont="1">
      <alignment horizontal="center" vertical="center"/>
    </xf>
    <xf borderId="0" fillId="2" fontId="14" numFmtId="0" xfId="0" applyAlignment="1" applyFont="1">
      <alignment horizontal="center"/>
    </xf>
    <xf borderId="0" fillId="2" fontId="14" numFmtId="0" xfId="0" applyFont="1"/>
    <xf borderId="7" fillId="10" fontId="15" numFmtId="0" xfId="0" applyAlignment="1" applyBorder="1" applyFill="1" applyFont="1">
      <alignment readingOrder="0" shrinkToFit="0" wrapText="1"/>
    </xf>
    <xf borderId="16" fillId="2" fontId="6" numFmtId="3" xfId="0" applyAlignment="1" applyBorder="1" applyFont="1" applyNumberFormat="1">
      <alignment horizontal="center" shrinkToFit="0" vertical="center" wrapText="1"/>
    </xf>
    <xf borderId="0" fillId="2" fontId="14" numFmtId="49" xfId="0" applyAlignment="1" applyFont="1" applyNumberFormat="1">
      <alignment readingOrder="0"/>
    </xf>
    <xf borderId="0" fillId="0" fontId="4" numFmtId="9" xfId="0" applyAlignment="1" applyFont="1" applyNumberFormat="1">
      <alignment horizontal="left"/>
    </xf>
    <xf borderId="0" fillId="2" fontId="16" numFmtId="0" xfId="0" applyAlignment="1" applyFont="1">
      <alignment readingOrder="0"/>
    </xf>
    <xf borderId="0" fillId="3" fontId="14" numFmtId="0" xfId="0" applyFont="1"/>
    <xf borderId="0" fillId="0" fontId="4" numFmtId="0" xfId="0" applyFont="1"/>
    <xf borderId="0" fillId="2" fontId="14" numFmtId="0" xfId="0" applyAlignment="1" applyFont="1">
      <alignment readingOrder="0"/>
    </xf>
    <xf borderId="0" fillId="2" fontId="17" numFmtId="3" xfId="0" applyAlignment="1" applyFont="1" applyNumberFormat="1">
      <alignment horizontal="center" readingOrder="0" shrinkToFit="0" vertical="center" wrapText="1"/>
    </xf>
    <xf borderId="0" fillId="3" fontId="14" numFmtId="0" xfId="0" applyAlignment="1" applyFont="1">
      <alignment horizontal="center" shrinkToFit="0" vertical="center" wrapText="1"/>
    </xf>
    <xf borderId="0" fillId="2" fontId="14" numFmtId="0" xfId="0" applyAlignment="1" applyFont="1">
      <alignment horizontal="center" shrinkToFit="0" vertical="center" wrapText="1"/>
    </xf>
    <xf borderId="17" fillId="0" fontId="4" numFmtId="0" xfId="0" applyBorder="1" applyFont="1"/>
    <xf borderId="19" fillId="0" fontId="4" numFmtId="0" xfId="0" applyBorder="1" applyFont="1"/>
    <xf borderId="30" fillId="0" fontId="4" numFmtId="0" xfId="0" applyBorder="1" applyFont="1"/>
    <xf borderId="21" fillId="0" fontId="4" numFmtId="0" xfId="0" applyBorder="1" applyFont="1"/>
    <xf borderId="17" fillId="11" fontId="18" numFmtId="0" xfId="0" applyAlignment="1" applyBorder="1" applyFill="1" applyFont="1">
      <alignment horizontal="center" shrinkToFit="0" wrapText="1"/>
    </xf>
    <xf borderId="19" fillId="11" fontId="19" numFmtId="0" xfId="0" applyAlignment="1" applyBorder="1" applyFont="1">
      <alignment vertical="bottom"/>
    </xf>
    <xf borderId="30" fillId="11" fontId="19" numFmtId="0" xfId="0" applyAlignment="1" applyBorder="1" applyFont="1">
      <alignment vertical="bottom"/>
    </xf>
    <xf borderId="21" fillId="11" fontId="18" numFmtId="3" xfId="0" applyAlignment="1" applyBorder="1" applyFont="1" applyNumberFormat="1">
      <alignment horizontal="center" vertical="bottom"/>
    </xf>
    <xf borderId="31" fillId="11" fontId="20" numFmtId="0" xfId="0" applyAlignment="1" applyBorder="1" applyFont="1">
      <alignment horizontal="center" readingOrder="0" shrinkToFit="0" vertical="center" wrapText="1"/>
    </xf>
    <xf borderId="7" fillId="11" fontId="20" numFmtId="0" xfId="0" applyAlignment="1" applyBorder="1" applyFont="1">
      <alignment horizontal="left" readingOrder="0" shrinkToFit="0" vertical="center" wrapText="1"/>
    </xf>
    <xf borderId="11" fillId="11" fontId="20" numFmtId="9" xfId="0" applyAlignment="1" applyBorder="1" applyFont="1" applyNumberFormat="1">
      <alignment horizontal="center" readingOrder="0" shrinkToFit="0" vertical="center" wrapText="1"/>
    </xf>
    <xf borderId="19" fillId="11" fontId="19" numFmtId="3" xfId="0" applyAlignment="1" applyBorder="1" applyFont="1" applyNumberFormat="1">
      <alignment vertical="bottom"/>
    </xf>
    <xf borderId="30" fillId="11" fontId="19" numFmtId="9" xfId="0" applyAlignment="1" applyBorder="1" applyFont="1" applyNumberFormat="1">
      <alignment vertical="bottom"/>
    </xf>
    <xf borderId="32" fillId="0" fontId="3" numFmtId="0" xfId="0" applyBorder="1" applyFont="1"/>
    <xf borderId="11" fillId="11" fontId="20" numFmtId="165" xfId="0" applyAlignment="1" applyBorder="1" applyFont="1" applyNumberFormat="1">
      <alignment horizontal="center" readingOrder="0" shrinkToFit="0" vertical="center" wrapText="1"/>
    </xf>
    <xf borderId="25" fillId="0" fontId="6" numFmtId="0" xfId="0" applyAlignment="1" applyBorder="1" applyFont="1">
      <alignment horizontal="center" readingOrder="0" shrinkToFit="0" vertical="center" wrapText="1"/>
    </xf>
    <xf borderId="0" fillId="2" fontId="9" numFmtId="9" xfId="0" applyAlignment="1" applyFont="1" applyNumberFormat="1">
      <alignment readingOrder="0"/>
    </xf>
    <xf borderId="33" fillId="0" fontId="6" numFmtId="0" xfId="0" applyAlignment="1" applyBorder="1" applyFont="1">
      <alignment horizontal="center" readingOrder="0" shrinkToFit="0" vertical="center" wrapText="1"/>
    </xf>
    <xf borderId="34" fillId="0" fontId="6" numFmtId="0" xfId="0" applyAlignment="1" applyBorder="1" applyFont="1">
      <alignment horizontal="center" readingOrder="0" shrinkToFit="0" vertical="center" wrapText="1"/>
    </xf>
    <xf borderId="35" fillId="2" fontId="7" numFmtId="9" xfId="0" applyAlignment="1" applyBorder="1" applyFont="1" applyNumberFormat="1">
      <alignment horizontal="center" readingOrder="0" shrinkToFit="0" vertical="center" wrapText="1"/>
    </xf>
    <xf borderId="30" fillId="4" fontId="9" numFmtId="9" xfId="0" applyAlignment="1" applyBorder="1" applyFont="1" applyNumberFormat="1">
      <alignment horizontal="center" shrinkToFit="0" vertical="center" wrapText="1"/>
    </xf>
    <xf borderId="0" fillId="2" fontId="9" numFmtId="0" xfId="0" applyAlignment="1" applyFont="1">
      <alignment readingOrder="0"/>
    </xf>
    <xf borderId="30" fillId="6" fontId="9" numFmtId="9" xfId="0" applyAlignment="1" applyBorder="1" applyFont="1" applyNumberFormat="1">
      <alignment horizontal="center" readingOrder="0" shrinkToFit="0" vertical="center" wrapText="1"/>
    </xf>
    <xf borderId="30" fillId="8" fontId="9" numFmtId="9" xfId="0" applyAlignment="1" applyBorder="1" applyFont="1" applyNumberFormat="1">
      <alignment horizontal="center" shrinkToFit="0" vertical="center" wrapText="1"/>
    </xf>
    <xf borderId="21" fillId="8" fontId="11" numFmtId="3" xfId="0" applyAlignment="1" applyBorder="1" applyFont="1" applyNumberFormat="1">
      <alignment horizontal="center" shrinkToFit="0" vertical="center" wrapText="1"/>
    </xf>
    <xf borderId="19" fillId="9" fontId="9" numFmtId="3" xfId="0" applyAlignment="1" applyBorder="1" applyFont="1" applyNumberFormat="1">
      <alignment horizontal="center" shrinkToFit="0" vertical="center" wrapText="1"/>
    </xf>
    <xf borderId="30" fillId="9" fontId="9" numFmtId="9" xfId="0" applyAlignment="1" applyBorder="1" applyFont="1" applyNumberFormat="1">
      <alignment horizontal="center" shrinkToFit="0" vertical="center" wrapText="1"/>
    </xf>
    <xf borderId="21" fillId="9" fontId="11" numFmtId="3" xfId="0" applyAlignment="1" applyBorder="1" applyFont="1" applyNumberFormat="1">
      <alignment horizontal="center" shrinkToFit="0" vertical="center" wrapText="1"/>
    </xf>
    <xf borderId="30" fillId="2" fontId="9" numFmtId="9" xfId="0" applyAlignment="1" applyBorder="1" applyFont="1" applyNumberFormat="1">
      <alignment horizontal="center" shrinkToFit="0" vertical="center" wrapText="1"/>
    </xf>
    <xf borderId="19" fillId="9" fontId="9" numFmtId="164" xfId="0" applyAlignment="1" applyBorder="1" applyFont="1" applyNumberFormat="1">
      <alignment horizontal="center" shrinkToFit="0" vertical="center" wrapText="1"/>
    </xf>
    <xf borderId="21" fillId="9" fontId="11" numFmtId="164" xfId="0" applyAlignment="1" applyBorder="1" applyFont="1" applyNumberFormat="1">
      <alignment horizontal="center" shrinkToFit="0" vertical="center" wrapText="1"/>
    </xf>
    <xf borderId="19" fillId="2" fontId="9" numFmtId="3" xfId="0" applyAlignment="1" applyBorder="1" applyFont="1" applyNumberFormat="1">
      <alignment horizontal="center" shrinkToFit="0" vertical="center" wrapText="1"/>
    </xf>
    <xf borderId="36" fillId="0" fontId="4" numFmtId="9" xfId="0" applyAlignment="1" applyBorder="1" applyFont="1" applyNumberFormat="1">
      <alignment horizontal="center" shrinkToFit="0" vertical="center" wrapText="1"/>
    </xf>
    <xf borderId="37" fillId="3" fontId="4" numFmtId="0" xfId="0" applyAlignment="1" applyBorder="1" applyFont="1">
      <alignment horizontal="center" readingOrder="0"/>
    </xf>
    <xf borderId="38" fillId="4" fontId="9" numFmtId="1" xfId="0" applyAlignment="1" applyBorder="1" applyFont="1" applyNumberFormat="1">
      <alignment horizontal="center" readingOrder="0" shrinkToFit="0" vertical="center" wrapText="1"/>
    </xf>
    <xf borderId="38" fillId="6" fontId="9" numFmtId="1" xfId="0" applyAlignment="1" applyBorder="1" applyFont="1" applyNumberFormat="1">
      <alignment horizontal="center" readingOrder="0" shrinkToFit="0" vertical="center" wrapText="1"/>
    </xf>
    <xf borderId="38" fillId="8" fontId="9" numFmtId="3" xfId="0" applyAlignment="1" applyBorder="1" applyFont="1" applyNumberFormat="1">
      <alignment horizontal="center" readingOrder="0" shrinkToFit="0" vertical="center" wrapText="1"/>
    </xf>
    <xf borderId="21" fillId="8" fontId="11" numFmtId="3" xfId="0" applyAlignment="1" applyBorder="1" applyFont="1" applyNumberFormat="1">
      <alignment horizontal="center" readingOrder="0" shrinkToFit="0" vertical="center" wrapText="1"/>
    </xf>
    <xf borderId="38" fillId="9" fontId="9" numFmtId="3" xfId="0" applyAlignment="1" applyBorder="1" applyFont="1" applyNumberFormat="1">
      <alignment horizontal="center" shrinkToFit="0" vertical="center" wrapText="1"/>
    </xf>
    <xf borderId="0" fillId="0" fontId="4" numFmtId="1" xfId="0" applyFont="1" applyNumberFormat="1"/>
    <xf borderId="38" fillId="9" fontId="9" numFmtId="164" xfId="0" applyAlignment="1" applyBorder="1" applyFont="1" applyNumberFormat="1">
      <alignment horizontal="center" shrinkToFit="0" vertical="center" wrapText="1"/>
    </xf>
    <xf borderId="0" fillId="2" fontId="11" numFmtId="3" xfId="0" applyAlignment="1" applyFont="1" applyNumberFormat="1">
      <alignment horizontal="center" readingOrder="0" shrinkToFit="0" vertical="center" wrapText="1"/>
    </xf>
    <xf borderId="38" fillId="2" fontId="9" numFmtId="3" xfId="0" applyAlignment="1" applyBorder="1" applyFont="1" applyNumberForma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vertical="center"/>
    </xf>
    <xf borderId="0" fillId="0" fontId="14" numFmtId="0" xfId="0" applyFont="1"/>
    <xf borderId="0" fillId="0" fontId="14" numFmtId="0" xfId="0" applyAlignment="1" applyFont="1">
      <alignment horizontal="center"/>
    </xf>
    <xf borderId="11" fillId="3" fontId="21" numFmtId="0" xfId="0" applyAlignment="1" applyBorder="1" applyFont="1">
      <alignment horizontal="center" readingOrder="0"/>
    </xf>
    <xf borderId="11" fillId="4" fontId="22" numFmtId="9" xfId="0" applyAlignment="1" applyBorder="1" applyFont="1" applyNumberFormat="1">
      <alignment horizontal="center" readingOrder="0"/>
    </xf>
    <xf borderId="0" fillId="0" fontId="14" numFmtId="9" xfId="0" applyAlignment="1" applyFont="1" applyNumberFormat="1">
      <alignment readingOrder="0"/>
    </xf>
    <xf borderId="0" fillId="0" fontId="9" numFmtId="9" xfId="0" applyAlignment="1" applyFont="1" applyNumberFormat="1">
      <alignment horizontal="left"/>
    </xf>
    <xf borderId="11" fillId="6" fontId="22" numFmtId="9" xfId="0" applyAlignment="1" applyBorder="1" applyFont="1" applyNumberFormat="1">
      <alignment horizontal="center" readingOrder="0"/>
    </xf>
    <xf borderId="0" fillId="0" fontId="14" numFmtId="0" xfId="0" applyAlignment="1" applyFont="1">
      <alignment readingOrder="0"/>
    </xf>
    <xf borderId="11" fillId="5" fontId="23" numFmtId="9" xfId="0" applyAlignment="1" applyBorder="1" applyFont="1" applyNumberFormat="1">
      <alignment horizontal="center" readingOrder="0"/>
    </xf>
    <xf borderId="0" fillId="0" fontId="9" numFmtId="0" xfId="0" applyFont="1"/>
    <xf borderId="11" fillId="7" fontId="23" numFmtId="9" xfId="0" applyAlignment="1" applyBorder="1" applyFont="1" applyNumberFormat="1">
      <alignment horizontal="center" readingOrder="0"/>
    </xf>
    <xf borderId="0" fillId="0" fontId="7" numFmtId="1" xfId="0" applyAlignment="1" applyFont="1" applyNumberFormat="1">
      <alignment horizontal="left"/>
    </xf>
    <xf borderId="11" fillId="8" fontId="24" numFmtId="3" xfId="0" applyAlignment="1" applyBorder="1" applyFont="1" applyNumberFormat="1">
      <alignment horizontal="center" readingOrder="0"/>
    </xf>
    <xf borderId="11" fillId="8" fontId="24" numFmtId="9" xfId="0" applyAlignment="1" applyBorder="1" applyFont="1" applyNumberFormat="1">
      <alignment horizontal="center" readingOrder="0"/>
    </xf>
    <xf borderId="11" fillId="9" fontId="24" numFmtId="3" xfId="0" applyAlignment="1" applyBorder="1" applyFont="1" applyNumberFormat="1">
      <alignment horizontal="center" readingOrder="0"/>
    </xf>
    <xf borderId="0" fillId="0" fontId="11" numFmtId="3" xfId="0" applyAlignment="1" applyFont="1" applyNumberFormat="1">
      <alignment horizontal="center" readingOrder="0" shrinkToFit="0" vertical="center" wrapText="1"/>
    </xf>
    <xf borderId="11" fillId="9" fontId="24" numFmtId="9" xfId="0" applyAlignment="1" applyBorder="1" applyFont="1" applyNumberFormat="1">
      <alignment horizontal="center" readingOrder="0"/>
    </xf>
    <xf borderId="0" fillId="0" fontId="14" numFmtId="0" xfId="0" applyAlignment="1" applyFont="1">
      <alignment horizontal="center" shrinkToFit="0" vertical="center" wrapText="1"/>
    </xf>
    <xf borderId="22" fillId="2" fontId="11" numFmtId="3" xfId="0" applyAlignment="1" applyBorder="1" applyFont="1" applyNumberFormat="1">
      <alignment horizontal="center" shrinkToFit="0" vertical="center" wrapText="1"/>
    </xf>
    <xf borderId="17" fillId="11" fontId="18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readingOrder="0" vertical="top"/>
    </xf>
    <xf borderId="0" fillId="0" fontId="4" numFmtId="0" xfId="0" applyAlignment="1" applyFont="1">
      <alignment horizontal="center" readingOrder="0"/>
    </xf>
    <xf borderId="0" fillId="0" fontId="9" numFmtId="9" xfId="0" applyAlignment="1" applyFont="1" applyNumberFormat="1">
      <alignment readingOrder="0"/>
    </xf>
    <xf borderId="0" fillId="0" fontId="14" numFmtId="9" xfId="0" applyAlignment="1" applyFont="1" applyNumberFormat="1">
      <alignment horizontal="right"/>
    </xf>
    <xf borderId="0" fillId="0" fontId="14" numFmtId="0" xfId="0" applyAlignment="1" applyFont="1">
      <alignment horizontal="right"/>
    </xf>
    <xf borderId="0" fillId="0" fontId="14" numFmtId="9" xfId="0" applyAlignment="1" applyFont="1" applyNumberFormat="1">
      <alignment horizontal="left"/>
    </xf>
    <xf borderId="0" fillId="0" fontId="9" numFmtId="0" xfId="0" applyAlignment="1" applyFont="1">
      <alignment readingOrder="0"/>
    </xf>
    <xf borderId="0" fillId="2" fontId="7" numFmtId="0" xfId="0" applyAlignment="1" applyFont="1">
      <alignment horizontal="left"/>
    </xf>
    <xf borderId="0" fillId="0" fontId="9" numFmtId="0" xfId="0" applyAlignment="1" applyFont="1">
      <alignment horizontal="center" shrinkToFit="0" vertical="center" wrapText="1"/>
    </xf>
    <xf borderId="0" fillId="0" fontId="7" numFmtId="0" xfId="0" applyFont="1"/>
    <xf borderId="0" fillId="0" fontId="7" numFmtId="9" xfId="0" applyAlignment="1" applyFont="1" applyNumberFormat="1">
      <alignment horizontal="left"/>
    </xf>
    <xf borderId="0" fillId="0" fontId="2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1" fillId="3" fontId="26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/>
    </xf>
    <xf borderId="0" fillId="0" fontId="17" numFmtId="3" xfId="0" applyAlignment="1" applyFont="1" applyNumberFormat="1">
      <alignment horizontal="center" shrinkToFit="0" vertical="center" wrapText="1"/>
    </xf>
    <xf borderId="1" fillId="0" fontId="19" numFmtId="0" xfId="0" applyAlignment="1" applyBorder="1" applyFont="1">
      <alignment vertical="top"/>
    </xf>
    <xf borderId="0" fillId="0" fontId="7" numFmtId="0" xfId="0" applyAlignment="1" applyFont="1">
      <alignment horizontal="left"/>
    </xf>
    <xf borderId="0" fillId="0" fontId="17" numFmtId="3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1" xfId="0" applyFont="1" applyNumberFormat="1"/>
    <xf borderId="0" fillId="0" fontId="14" numFmtId="1" xfId="0" applyFont="1" applyNumberFormat="1"/>
    <xf borderId="32" fillId="11" fontId="20" numFmtId="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/>
    </xf>
    <xf borderId="1" fillId="0" fontId="27" numFmtId="0" xfId="0" applyAlignment="1" applyBorder="1" applyFont="1">
      <alignment horizontal="center"/>
    </xf>
    <xf borderId="0" fillId="0" fontId="4" numFmtId="1" xfId="0" applyAlignment="1" applyFont="1" applyNumberFormat="1">
      <alignment horizontal="left"/>
    </xf>
    <xf borderId="7" fillId="2" fontId="5" numFmtId="9" xfId="0" applyAlignment="1" applyBorder="1" applyFont="1" applyNumberFormat="1">
      <alignment horizontal="left" readingOrder="0" shrinkToFit="0" vertical="center" wrapText="1"/>
    </xf>
    <xf borderId="0" fillId="12" fontId="4" numFmtId="0" xfId="0" applyFill="1" applyFont="1"/>
    <xf borderId="0" fillId="12" fontId="4" numFmtId="0" xfId="0" applyAlignment="1" applyFont="1">
      <alignment readingOrder="0" vertical="top"/>
    </xf>
    <xf borderId="0" fillId="2" fontId="4" numFmtId="0" xfId="0" applyFont="1"/>
    <xf borderId="0" fillId="13" fontId="4" numFmtId="0" xfId="0" applyAlignment="1" applyFill="1" applyFont="1">
      <alignment readingOrder="0"/>
    </xf>
    <xf borderId="2" fillId="13" fontId="3" numFmtId="0" xfId="0" applyBorder="1" applyFont="1"/>
    <xf borderId="3" fillId="13" fontId="3" numFmtId="0" xfId="0" applyBorder="1" applyFont="1"/>
    <xf borderId="0" fillId="2" fontId="6" numFmtId="0" xfId="0" applyAlignment="1" applyFont="1">
      <alignment readingOrder="0"/>
    </xf>
    <xf borderId="4" fillId="2" fontId="3" numFmtId="0" xfId="0" applyBorder="1" applyFont="1"/>
    <xf borderId="5" fillId="2" fontId="3" numFmtId="0" xfId="0" applyBorder="1" applyFont="1"/>
    <xf borderId="6" fillId="2" fontId="3" numFmtId="0" xfId="0" applyBorder="1" applyFont="1"/>
    <xf borderId="0" fillId="0" fontId="28" numFmtId="0" xfId="0" applyFont="1"/>
    <xf borderId="0" fillId="0" fontId="27" numFmtId="0" xfId="0" applyAlignment="1" applyFont="1">
      <alignment horizontal="center"/>
    </xf>
    <xf borderId="0" fillId="0" fontId="29" numFmtId="0" xfId="0" applyAlignment="1" applyFont="1">
      <alignment horizontal="center"/>
    </xf>
    <xf borderId="0" fillId="14" fontId="9" numFmtId="9" xfId="0" applyAlignment="1" applyFill="1" applyFont="1" applyNumberFormat="1">
      <alignment readingOrder="0"/>
    </xf>
    <xf borderId="0" fillId="14" fontId="14" numFmtId="0" xfId="0" applyAlignment="1" applyFont="1">
      <alignment readingOrder="0"/>
    </xf>
    <xf borderId="0" fillId="0" fontId="7" numFmtId="0" xfId="0" applyAlignment="1" applyFont="1">
      <alignment readingOrder="0"/>
    </xf>
    <xf borderId="40" fillId="0" fontId="3" numFmtId="0" xfId="0" applyBorder="1" applyFont="1"/>
    <xf borderId="41" fillId="0" fontId="3" numFmtId="0" xfId="0" applyBorder="1" applyFont="1"/>
    <xf borderId="0" fillId="0" fontId="14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14" fillId="3" fontId="6" numFmtId="0" xfId="0" applyAlignment="1" applyBorder="1" applyFont="1">
      <alignment horizontal="center" readingOrder="0"/>
    </xf>
    <xf borderId="0" fillId="0" fontId="6" numFmtId="0" xfId="0" applyAlignment="1" applyFont="1">
      <alignment horizontal="left" readingOrder="0"/>
    </xf>
    <xf borderId="7" fillId="10" fontId="15" numFmtId="0" xfId="0" applyAlignment="1" applyBorder="1" applyFont="1">
      <alignment readingOrder="0" shrinkToFit="0" vertical="center" wrapText="1"/>
    </xf>
    <xf borderId="11" fillId="3" fontId="21" numFmtId="0" xfId="0" applyAlignment="1" applyBorder="1" applyFont="1">
      <alignment horizontal="center" readingOrder="0"/>
    </xf>
    <xf borderId="11" fillId="4" fontId="22" numFmtId="9" xfId="0" applyAlignment="1" applyBorder="1" applyFont="1" applyNumberFormat="1">
      <alignment horizontal="center" readingOrder="0"/>
    </xf>
    <xf borderId="11" fillId="6" fontId="22" numFmtId="9" xfId="0" applyAlignment="1" applyBorder="1" applyFont="1" applyNumberFormat="1">
      <alignment horizontal="center" readingOrder="0"/>
    </xf>
    <xf borderId="11" fillId="5" fontId="23" numFmtId="9" xfId="0" applyAlignment="1" applyBorder="1" applyFont="1" applyNumberFormat="1">
      <alignment horizontal="center" readingOrder="0"/>
    </xf>
    <xf borderId="11" fillId="7" fontId="23" numFmtId="9" xfId="0" applyAlignment="1" applyBorder="1" applyFont="1" applyNumberFormat="1">
      <alignment horizontal="center" readingOrder="0"/>
    </xf>
    <xf borderId="11" fillId="8" fontId="24" numFmtId="3" xfId="0" applyAlignment="1" applyBorder="1" applyFont="1" applyNumberFormat="1">
      <alignment horizontal="center" readingOrder="0"/>
    </xf>
    <xf borderId="11" fillId="8" fontId="24" numFmtId="9" xfId="0" applyAlignment="1" applyBorder="1" applyFont="1" applyNumberFormat="1">
      <alignment horizontal="center" readingOrder="0"/>
    </xf>
    <xf borderId="11" fillId="9" fontId="24" numFmtId="3" xfId="0" applyAlignment="1" applyBorder="1" applyFont="1" applyNumberFormat="1">
      <alignment horizontal="center" readingOrder="0"/>
    </xf>
    <xf borderId="11" fillId="9" fontId="24" numFmtId="9" xfId="0" applyAlignment="1" applyBorder="1" applyFont="1" applyNumberFormat="1">
      <alignment horizontal="center" readingOrder="0"/>
    </xf>
    <xf borderId="17" fillId="11" fontId="6" numFmtId="0" xfId="0" applyAlignment="1" applyBorder="1" applyFont="1">
      <alignment horizontal="center" readingOrder="0" shrinkToFit="0" vertical="center" wrapText="1"/>
    </xf>
    <xf borderId="19" fillId="11" fontId="4" numFmtId="0" xfId="0" applyBorder="1" applyFont="1"/>
    <xf borderId="30" fillId="11" fontId="4" numFmtId="0" xfId="0" applyBorder="1" applyFont="1"/>
    <xf borderId="21" fillId="11" fontId="30" numFmtId="3" xfId="0" applyAlignment="1" applyBorder="1" applyFont="1" applyNumberFormat="1">
      <alignment horizontal="center"/>
    </xf>
    <xf borderId="24" fillId="9" fontId="9" numFmtId="9" xfId="0" applyAlignment="1" applyBorder="1" applyFont="1" applyNumberFormat="1">
      <alignment horizontal="center" readingOrder="0" shrinkToFit="0" vertical="center" wrapText="1"/>
    </xf>
    <xf borderId="0" fillId="0" fontId="30" numFmtId="3" xfId="0" applyAlignment="1" applyFont="1" applyNumberFormat="1">
      <alignment horizontal="center" shrinkToFit="0" vertical="center" wrapText="1"/>
    </xf>
    <xf borderId="11" fillId="4" fontId="12" numFmtId="9" xfId="0" applyAlignment="1" applyBorder="1" applyFont="1" applyNumberFormat="1">
      <alignment horizontal="center" readingOrder="0" shrinkToFit="0" vertical="center" wrapText="1"/>
    </xf>
    <xf borderId="11" fillId="6" fontId="12" numFmtId="9" xfId="0" applyAlignment="1" applyBorder="1" applyFont="1" applyNumberFormat="1">
      <alignment horizontal="center" readingOrder="0" shrinkToFit="0" vertical="center" wrapText="1"/>
    </xf>
    <xf borderId="11" fillId="5" fontId="5" numFmtId="9" xfId="0" applyAlignment="1" applyBorder="1" applyFont="1" applyNumberFormat="1">
      <alignment horizontal="center" readingOrder="0" shrinkToFit="0" vertical="center" wrapText="1"/>
    </xf>
    <xf borderId="11" fillId="7" fontId="5" numFmtId="9" xfId="0" applyAlignment="1" applyBorder="1" applyFont="1" applyNumberFormat="1">
      <alignment horizontal="center" readingOrder="0" shrinkToFit="0" vertical="center" wrapText="1"/>
    </xf>
    <xf borderId="23" fillId="2" fontId="9" numFmtId="3" xfId="0" applyAlignment="1" applyBorder="1" applyFont="1" applyNumberFormat="1">
      <alignment horizontal="center" readingOrder="0" shrinkToFit="0" vertical="center" wrapText="1"/>
    </xf>
    <xf borderId="0" fillId="0" fontId="6" numFmtId="0" xfId="0" applyFont="1"/>
    <xf borderId="0" fillId="0" fontId="6" numFmtId="0" xfId="0" applyAlignment="1" applyFont="1">
      <alignment readingOrder="0" vertical="top"/>
    </xf>
    <xf borderId="0" fillId="0" fontId="19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31" numFmtId="0" xfId="0" applyAlignment="1" applyFont="1">
      <alignment vertical="bottom"/>
    </xf>
    <xf borderId="7" fillId="2" fontId="32" numFmtId="0" xfId="0" applyAlignment="1" applyBorder="1" applyFont="1">
      <alignment shrinkToFit="0" wrapText="1"/>
    </xf>
    <xf borderId="7" fillId="0" fontId="18" numFmtId="0" xfId="0" applyAlignment="1" applyBorder="1" applyFont="1">
      <alignment horizontal="center" shrinkToFit="0" wrapText="1"/>
    </xf>
    <xf borderId="10" fillId="0" fontId="18" numFmtId="0" xfId="0" applyAlignment="1" applyBorder="1" applyFont="1">
      <alignment horizontal="center" shrinkToFit="0" wrapText="1"/>
    </xf>
    <xf borderId="9" fillId="0" fontId="18" numFmtId="0" xfId="0" applyAlignment="1" applyBorder="1" applyFont="1">
      <alignment horizontal="center" shrinkToFit="0" wrapText="1"/>
    </xf>
    <xf borderId="11" fillId="3" fontId="32" numFmtId="0" xfId="0" applyAlignment="1" applyBorder="1" applyFont="1">
      <alignment horizontal="center" shrinkToFit="0" wrapText="1"/>
    </xf>
    <xf borderId="7" fillId="3" fontId="32" numFmtId="0" xfId="0" applyAlignment="1" applyBorder="1" applyFont="1">
      <alignment shrinkToFit="0" wrapText="1"/>
    </xf>
    <xf borderId="12" fillId="0" fontId="18" numFmtId="0" xfId="0" applyAlignment="1" applyBorder="1" applyFont="1">
      <alignment horizontal="center" shrinkToFit="0" wrapText="1"/>
    </xf>
    <xf borderId="14" fillId="3" fontId="19" numFmtId="0" xfId="0" applyAlignment="1" applyBorder="1" applyFont="1">
      <alignment vertical="bottom"/>
    </xf>
    <xf borderId="15" fillId="2" fontId="19" numFmtId="9" xfId="0" applyBorder="1" applyFont="1" applyNumberFormat="1"/>
    <xf borderId="16" fillId="0" fontId="19" numFmtId="3" xfId="0" applyBorder="1" applyFont="1" applyNumberFormat="1"/>
    <xf borderId="11" fillId="4" fontId="22" numFmtId="0" xfId="0" applyAlignment="1" applyBorder="1" applyFont="1">
      <alignment horizontal="center" shrinkToFit="0" wrapText="1"/>
    </xf>
    <xf borderId="7" fillId="4" fontId="22" numFmtId="0" xfId="0" applyAlignment="1" applyBorder="1" applyFont="1">
      <alignment shrinkToFit="0" wrapText="1"/>
    </xf>
    <xf borderId="0" fillId="0" fontId="33" numFmtId="9" xfId="0" applyAlignment="1" applyFont="1" applyNumberFormat="1">
      <alignment readingOrder="0" vertical="bottom"/>
    </xf>
    <xf borderId="17" fillId="0" fontId="18" numFmtId="0" xfId="0" applyAlignment="1" applyBorder="1" applyFont="1">
      <alignment horizontal="center" shrinkToFit="0" wrapText="1"/>
    </xf>
    <xf borderId="19" fillId="4" fontId="33" numFmtId="1" xfId="0" applyAlignment="1" applyBorder="1" applyFont="1" applyNumberFormat="1">
      <alignment horizontal="center" shrinkToFit="0" wrapText="1"/>
    </xf>
    <xf borderId="20" fillId="4" fontId="19" numFmtId="9" xfId="0" applyBorder="1" applyFont="1" applyNumberFormat="1"/>
    <xf borderId="21" fillId="5" fontId="18" numFmtId="3" xfId="0" applyAlignment="1" applyBorder="1" applyFont="1" applyNumberFormat="1">
      <alignment horizontal="center" shrinkToFit="0" wrapText="1"/>
    </xf>
    <xf borderId="11" fillId="6" fontId="22" numFmtId="0" xfId="0" applyAlignment="1" applyBorder="1" applyFont="1">
      <alignment horizontal="center" shrinkToFit="0" wrapText="1"/>
    </xf>
    <xf borderId="7" fillId="6" fontId="22" numFmtId="0" xfId="0" applyAlignment="1" applyBorder="1" applyFont="1">
      <alignment shrinkToFit="0" wrapText="1"/>
    </xf>
    <xf borderId="0" fillId="0" fontId="33" numFmtId="0" xfId="0" applyAlignment="1" applyFont="1">
      <alignment readingOrder="0" vertical="bottom"/>
    </xf>
    <xf borderId="19" fillId="6" fontId="33" numFmtId="1" xfId="0" applyAlignment="1" applyBorder="1" applyFont="1" applyNumberFormat="1">
      <alignment horizontal="center" shrinkToFit="0" wrapText="1"/>
    </xf>
    <xf borderId="20" fillId="6" fontId="19" numFmtId="9" xfId="0" applyBorder="1" applyFont="1" applyNumberFormat="1"/>
    <xf borderId="11" fillId="5" fontId="34" numFmtId="0" xfId="0" applyAlignment="1" applyBorder="1" applyFont="1">
      <alignment horizontal="center" shrinkToFit="0" wrapText="1"/>
    </xf>
    <xf borderId="7" fillId="5" fontId="34" numFmtId="0" xfId="0" applyAlignment="1" applyBorder="1" applyFont="1">
      <alignment shrinkToFit="0" wrapText="1"/>
    </xf>
    <xf borderId="19" fillId="8" fontId="33" numFmtId="3" xfId="0" applyAlignment="1" applyBorder="1" applyFont="1" applyNumberFormat="1">
      <alignment horizontal="center" shrinkToFit="0" wrapText="1"/>
    </xf>
    <xf borderId="20" fillId="8" fontId="19" numFmtId="9" xfId="0" applyBorder="1" applyFont="1" applyNumberFormat="1"/>
    <xf borderId="11" fillId="7" fontId="34" numFmtId="0" xfId="0" applyAlignment="1" applyBorder="1" applyFont="1">
      <alignment horizontal="center" shrinkToFit="0" wrapText="1"/>
    </xf>
    <xf borderId="7" fillId="7" fontId="34" numFmtId="0" xfId="0" applyAlignment="1" applyBorder="1" applyFont="1">
      <alignment shrinkToFit="0" wrapText="1"/>
    </xf>
    <xf borderId="23" fillId="9" fontId="19" numFmtId="3" xfId="0" applyBorder="1" applyFont="1" applyNumberFormat="1"/>
    <xf borderId="24" fillId="9" fontId="19" numFmtId="9" xfId="0" applyBorder="1" applyFont="1" applyNumberFormat="1"/>
    <xf borderId="22" fillId="9" fontId="15" numFmtId="3" xfId="0" applyAlignment="1" applyBorder="1" applyFont="1" applyNumberFormat="1">
      <alignment horizontal="center" shrinkToFit="0" wrapText="1"/>
    </xf>
    <xf borderId="11" fillId="8" fontId="24" numFmtId="0" xfId="0" applyAlignment="1" applyBorder="1" applyFont="1">
      <alignment horizontal="center" shrinkToFit="0" wrapText="1"/>
    </xf>
    <xf borderId="7" fillId="8" fontId="24" numFmtId="0" xfId="0" applyAlignment="1" applyBorder="1" applyFont="1">
      <alignment shrinkToFit="0" wrapText="1"/>
    </xf>
    <xf borderId="23" fillId="9" fontId="33" numFmtId="3" xfId="0" applyAlignment="1" applyBorder="1" applyFont="1" applyNumberFormat="1">
      <alignment horizontal="center" shrinkToFit="0" wrapText="1"/>
    </xf>
    <xf borderId="24" fillId="2" fontId="19" numFmtId="9" xfId="0" applyBorder="1" applyFont="1" applyNumberFormat="1"/>
    <xf borderId="23" fillId="9" fontId="33" numFmtId="164" xfId="0" applyAlignment="1" applyBorder="1" applyFont="1" applyNumberFormat="1">
      <alignment horizontal="center" shrinkToFit="0" wrapText="1"/>
    </xf>
    <xf borderId="22" fillId="9" fontId="15" numFmtId="164" xfId="0" applyAlignment="1" applyBorder="1" applyFont="1" applyNumberFormat="1">
      <alignment horizontal="center" shrinkToFit="0" wrapText="1"/>
    </xf>
    <xf borderId="11" fillId="9" fontId="24" numFmtId="0" xfId="0" applyAlignment="1" applyBorder="1" applyFont="1">
      <alignment horizontal="center" shrinkToFit="0" wrapText="1"/>
    </xf>
    <xf borderId="7" fillId="9" fontId="24" numFmtId="0" xfId="0" applyAlignment="1" applyBorder="1" applyFont="1">
      <alignment shrinkToFit="0" wrapText="1"/>
    </xf>
    <xf borderId="0" fillId="0" fontId="33" numFmtId="3" xfId="0" applyAlignment="1" applyFont="1" applyNumberFormat="1">
      <alignment readingOrder="0"/>
    </xf>
    <xf borderId="23" fillId="2" fontId="19" numFmtId="3" xfId="0" applyBorder="1" applyFont="1" applyNumberFormat="1"/>
    <xf borderId="0" fillId="0" fontId="31" numFmtId="0" xfId="0" applyFont="1"/>
    <xf borderId="25" fillId="0" fontId="19" numFmtId="0" xfId="0" applyBorder="1" applyFont="1"/>
    <xf borderId="27" fillId="0" fontId="19" numFmtId="0" xfId="0" applyBorder="1" applyFont="1"/>
    <xf borderId="28" fillId="0" fontId="19" numFmtId="9" xfId="0" applyBorder="1" applyFont="1" applyNumberFormat="1"/>
    <xf borderId="29" fillId="0" fontId="19" numFmtId="3" xfId="0" applyBorder="1" applyFont="1" applyNumberFormat="1"/>
    <xf borderId="7" fillId="2" fontId="32" numFmtId="0" xfId="0" applyAlignment="1" applyBorder="1" applyFont="1">
      <alignment readingOrder="0" shrinkToFit="0" wrapText="1"/>
    </xf>
    <xf borderId="0" fillId="0" fontId="31" numFmtId="3" xfId="0" applyFont="1" applyNumberFormat="1"/>
    <xf borderId="0" fillId="14" fontId="4" numFmtId="0" xfId="0" applyFont="1"/>
    <xf borderId="0" fillId="14" fontId="4" numFmtId="0" xfId="0" applyAlignment="1" applyFont="1">
      <alignment horizontal="center" readingOrder="0"/>
    </xf>
    <xf borderId="0" fillId="14" fontId="4" numFmtId="0" xfId="0" applyAlignment="1" applyFont="1">
      <alignment horizontal="center"/>
    </xf>
    <xf borderId="14" fillId="3" fontId="19" numFmtId="0" xfId="0" applyAlignment="1" applyBorder="1" applyFont="1">
      <alignment horizontal="center" vertical="bottom"/>
    </xf>
    <xf borderId="17" fillId="0" fontId="18" numFmtId="0" xfId="0" applyAlignment="1" applyBorder="1" applyFont="1">
      <alignment horizontal="center" readingOrder="0" shrinkToFit="0" wrapText="1"/>
    </xf>
    <xf borderId="23" fillId="9" fontId="19" numFmtId="3" xfId="0" applyAlignment="1" applyBorder="1" applyFont="1" applyNumberFormat="1">
      <alignment horizontal="center"/>
    </xf>
    <xf borderId="23" fillId="9" fontId="33" numFmtId="3" xfId="0" applyAlignment="1" applyBorder="1" applyFont="1" applyNumberFormat="1">
      <alignment horizontal="center" readingOrder="0" shrinkToFit="0" wrapText="1"/>
    </xf>
    <xf borderId="0" fillId="0" fontId="35" numFmtId="3" xfId="0" applyFont="1" applyNumberFormat="1"/>
    <xf borderId="23" fillId="2" fontId="19" numFmtId="3" xfId="0" applyAlignment="1" applyBorder="1" applyFont="1" applyNumberFormat="1">
      <alignment horizontal="center" readingOrder="0"/>
    </xf>
    <xf borderId="11" fillId="11" fontId="20" numFmtId="0" xfId="0" applyAlignment="1" applyBorder="1" applyFont="1">
      <alignment horizontal="center" readingOrder="0" shrinkToFit="0" vertical="center" wrapText="1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36" numFmtId="3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CAPITAL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6:K6" displayName="Table_1" name="Table_1" id="1">
  <tableColumns count="2">
    <tableColumn name="Column1" id="1"/>
    <tableColumn name="Column2" id="2"/>
  </tableColumns>
  <tableStyleInfo name="CAPIT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88"/>
    <col customWidth="1" min="2" max="2" width="2.88"/>
    <col customWidth="1" min="3" max="3" width="15.38"/>
    <col customWidth="1" min="4" max="4" width="12.0"/>
    <col customWidth="1" min="6" max="6" width="5.88"/>
  </cols>
  <sheetData>
    <row r="1">
      <c r="B1" s="1"/>
      <c r="C1" s="1"/>
      <c r="D1" s="1"/>
      <c r="E1" s="1"/>
      <c r="F1" s="1"/>
      <c r="G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>
      <c r="B3" s="5"/>
      <c r="C3" s="6"/>
      <c r="D3" s="6"/>
      <c r="E3" s="6"/>
      <c r="F3" s="6"/>
      <c r="G3" s="6"/>
      <c r="H3" s="6"/>
      <c r="I3" s="6"/>
      <c r="J3" s="6"/>
      <c r="K3" s="7"/>
    </row>
    <row r="4">
      <c r="B4" s="8"/>
      <c r="C4" s="8"/>
      <c r="D4" s="8"/>
      <c r="E4" s="8"/>
      <c r="F4" s="8"/>
      <c r="G4" s="8"/>
    </row>
    <row r="5">
      <c r="B5" s="9" t="s">
        <v>1</v>
      </c>
      <c r="C5" s="10"/>
      <c r="D5" s="10"/>
      <c r="E5" s="11"/>
      <c r="G5" s="8"/>
      <c r="H5" s="8"/>
      <c r="I5" s="12" t="s">
        <v>2</v>
      </c>
      <c r="J5" s="13" t="s">
        <v>3</v>
      </c>
      <c r="K5" s="14" t="s">
        <v>4</v>
      </c>
    </row>
    <row r="6">
      <c r="B6" s="15">
        <v>1.0</v>
      </c>
      <c r="C6" s="16" t="s">
        <v>5</v>
      </c>
      <c r="D6" s="11"/>
      <c r="E6" s="15">
        <v>1653.0</v>
      </c>
      <c r="G6" s="17" t="s">
        <v>6</v>
      </c>
      <c r="H6" s="18"/>
      <c r="I6" s="19">
        <f>E6</f>
        <v>1653</v>
      </c>
      <c r="J6" s="20"/>
      <c r="K6" s="21"/>
    </row>
    <row r="7">
      <c r="B7" s="22">
        <v>2.0</v>
      </c>
      <c r="C7" s="23" t="s">
        <v>7</v>
      </c>
      <c r="D7" s="11"/>
      <c r="E7" s="24">
        <v>0.45</v>
      </c>
      <c r="G7" s="25" t="s">
        <v>8</v>
      </c>
      <c r="H7" s="26"/>
      <c r="I7" s="27">
        <f t="shared" ref="I7:I8" si="1">I6*J7</f>
        <v>743.85</v>
      </c>
      <c r="J7" s="28">
        <f t="shared" ref="J7:J8" si="2">E7</f>
        <v>0.45</v>
      </c>
      <c r="K7" s="29">
        <f>I7+(I7*E9)</f>
        <v>1115.775</v>
      </c>
    </row>
    <row r="8">
      <c r="B8" s="30">
        <v>3.0</v>
      </c>
      <c r="C8" s="31" t="s">
        <v>9</v>
      </c>
      <c r="D8" s="11"/>
      <c r="E8" s="32">
        <v>1.0</v>
      </c>
      <c r="G8" s="25" t="s">
        <v>10</v>
      </c>
      <c r="H8" s="26"/>
      <c r="I8" s="33">
        <f t="shared" si="1"/>
        <v>743.85</v>
      </c>
      <c r="J8" s="34">
        <f t="shared" si="2"/>
        <v>1</v>
      </c>
      <c r="K8" s="35">
        <f>I8+(I8*E9)</f>
        <v>1115.775</v>
      </c>
    </row>
    <row r="9">
      <c r="B9" s="36">
        <v>4.0</v>
      </c>
      <c r="C9" s="37" t="s">
        <v>11</v>
      </c>
      <c r="D9" s="11"/>
      <c r="E9" s="38">
        <v>0.5</v>
      </c>
      <c r="G9" s="25" t="s">
        <v>12</v>
      </c>
      <c r="H9" s="26"/>
      <c r="I9" s="39">
        <f>E11</f>
        <v>10</v>
      </c>
      <c r="J9" s="40">
        <f>E12</f>
        <v>0.5</v>
      </c>
      <c r="K9" s="41">
        <f>I9+(I9*E12)</f>
        <v>15</v>
      </c>
    </row>
    <row r="10">
      <c r="B10" s="42">
        <v>5.0</v>
      </c>
      <c r="C10" s="43" t="s">
        <v>13</v>
      </c>
      <c r="D10" s="11"/>
      <c r="E10" s="44">
        <v>0.5</v>
      </c>
      <c r="G10" s="25" t="s">
        <v>14</v>
      </c>
      <c r="H10" s="26"/>
      <c r="I10" s="45">
        <f>E13</f>
        <v>4500</v>
      </c>
      <c r="J10" s="46">
        <f>E14</f>
        <v>0.3</v>
      </c>
      <c r="K10" s="47">
        <f>I10+(I10*J10)</f>
        <v>5850</v>
      </c>
    </row>
    <row r="11">
      <c r="B11" s="48">
        <v>6.0</v>
      </c>
      <c r="C11" s="49" t="s">
        <v>15</v>
      </c>
      <c r="D11" s="11"/>
      <c r="E11" s="50">
        <v>10.0</v>
      </c>
      <c r="G11" s="25" t="s">
        <v>16</v>
      </c>
      <c r="H11" s="26"/>
      <c r="I11" s="45">
        <f>IFERROR(I7/E15,0)</f>
        <v>74.385</v>
      </c>
      <c r="J11" s="51"/>
      <c r="K11" s="47">
        <f>IFERROR(K7/K13,0)</f>
        <v>85.82884615</v>
      </c>
    </row>
    <row r="12">
      <c r="B12" s="48">
        <v>7.0</v>
      </c>
      <c r="C12" s="49" t="s">
        <v>17</v>
      </c>
      <c r="D12" s="11"/>
      <c r="E12" s="52">
        <v>0.5</v>
      </c>
      <c r="G12" s="25" t="s">
        <v>18</v>
      </c>
      <c r="H12" s="26"/>
      <c r="I12" s="53">
        <f>IFERROR(I10/I8,0)</f>
        <v>6.049606776</v>
      </c>
      <c r="J12" s="51"/>
      <c r="K12" s="54">
        <f>IFERROR(K10/K8,0)</f>
        <v>5.242992539</v>
      </c>
    </row>
    <row r="13">
      <c r="B13" s="55">
        <v>8.0</v>
      </c>
      <c r="C13" s="56" t="s">
        <v>19</v>
      </c>
      <c r="D13" s="11"/>
      <c r="E13" s="57">
        <v>4500.0</v>
      </c>
      <c r="F13" s="58"/>
      <c r="G13" s="25" t="s">
        <v>20</v>
      </c>
      <c r="H13" s="26"/>
      <c r="I13" s="59"/>
      <c r="J13" s="51"/>
      <c r="K13" s="47">
        <f>E15+(E15*E16)</f>
        <v>13</v>
      </c>
    </row>
    <row r="14">
      <c r="B14" s="55">
        <v>9.0</v>
      </c>
      <c r="C14" s="56" t="s">
        <v>21</v>
      </c>
      <c r="D14" s="11"/>
      <c r="E14" s="60">
        <v>0.3</v>
      </c>
      <c r="F14" s="61"/>
      <c r="G14" s="25" t="s">
        <v>22</v>
      </c>
      <c r="H14" s="26"/>
      <c r="I14" s="45">
        <f>IFERROR(I10/E15,0)</f>
        <v>450</v>
      </c>
      <c r="J14" s="51"/>
      <c r="K14" s="47">
        <f>IFERROR(K10/K13,0)</f>
        <v>450</v>
      </c>
    </row>
    <row r="15">
      <c r="B15" s="55">
        <v>10.0</v>
      </c>
      <c r="C15" s="56" t="s">
        <v>23</v>
      </c>
      <c r="D15" s="11"/>
      <c r="E15" s="57">
        <v>10.0</v>
      </c>
      <c r="F15" s="61"/>
      <c r="G15" s="62"/>
      <c r="H15" s="63"/>
      <c r="I15" s="64"/>
      <c r="J15" s="65"/>
      <c r="K15" s="66"/>
    </row>
    <row r="16">
      <c r="B16" s="55">
        <v>11.0</v>
      </c>
      <c r="C16" s="56" t="s">
        <v>24</v>
      </c>
      <c r="D16" s="11"/>
      <c r="E16" s="60">
        <v>0.3</v>
      </c>
      <c r="F16" s="61"/>
      <c r="G16" s="61"/>
    </row>
    <row r="17">
      <c r="F17" s="8"/>
      <c r="G17" s="61"/>
    </row>
    <row r="18">
      <c r="B18" s="67" t="s">
        <v>25</v>
      </c>
    </row>
    <row r="20">
      <c r="F20" s="8"/>
      <c r="G20" s="8"/>
    </row>
    <row r="21">
      <c r="F21" s="8"/>
      <c r="G21" s="8"/>
    </row>
    <row r="22">
      <c r="F22" s="8"/>
      <c r="G22" s="8"/>
    </row>
    <row r="23">
      <c r="B23" s="68"/>
      <c r="C23" s="68"/>
      <c r="D23" s="8"/>
      <c r="E23" s="8"/>
      <c r="F23" s="8"/>
      <c r="G23" s="8"/>
    </row>
    <row r="24">
      <c r="B24" s="68"/>
      <c r="C24" s="68"/>
      <c r="D24" s="8"/>
      <c r="E24" s="8"/>
      <c r="F24" s="8"/>
      <c r="G24" s="8"/>
    </row>
    <row r="25">
      <c r="B25" s="8"/>
      <c r="C25" s="8"/>
      <c r="D25" s="8"/>
      <c r="E25" s="8"/>
      <c r="F25" s="8"/>
      <c r="G25" s="8"/>
    </row>
    <row r="26">
      <c r="B26" s="8"/>
      <c r="C26" s="8"/>
      <c r="D26" s="8"/>
      <c r="E26" s="8"/>
      <c r="F26" s="8"/>
      <c r="G26" s="8"/>
    </row>
    <row r="27">
      <c r="B27" s="8"/>
      <c r="C27" s="8"/>
      <c r="D27" s="8"/>
      <c r="E27" s="8"/>
      <c r="F27" s="8"/>
      <c r="G27" s="8"/>
    </row>
    <row r="28">
      <c r="B28" s="8"/>
      <c r="C28" s="8"/>
      <c r="D28" s="8"/>
      <c r="E28" s="8"/>
      <c r="F28" s="8"/>
      <c r="G28" s="8"/>
    </row>
    <row r="29">
      <c r="B29" s="8"/>
      <c r="C29" s="8"/>
      <c r="D29" s="8"/>
      <c r="E29" s="8"/>
      <c r="F29" s="8"/>
      <c r="G29" s="8"/>
    </row>
    <row r="30">
      <c r="B30" s="8"/>
      <c r="C30" s="8"/>
      <c r="D30" s="8"/>
      <c r="E30" s="8"/>
      <c r="F30" s="8"/>
      <c r="G30" s="8"/>
    </row>
    <row r="31">
      <c r="B31" s="8"/>
      <c r="C31" s="8"/>
      <c r="D31" s="8"/>
      <c r="E31" s="8"/>
      <c r="F31" s="8"/>
      <c r="G31" s="8"/>
    </row>
    <row r="32">
      <c r="B32" s="8"/>
      <c r="C32" s="8"/>
      <c r="D32" s="8"/>
      <c r="E32" s="8"/>
      <c r="F32" s="8"/>
      <c r="G32" s="8"/>
    </row>
    <row r="33">
      <c r="B33" s="8"/>
      <c r="C33" s="8"/>
      <c r="D33" s="8"/>
      <c r="E33" s="8"/>
      <c r="F33" s="8"/>
      <c r="G33" s="8"/>
    </row>
    <row r="34">
      <c r="B34" s="8"/>
      <c r="C34" s="8"/>
      <c r="D34" s="8"/>
      <c r="E34" s="8"/>
      <c r="F34" s="8"/>
      <c r="G34" s="8"/>
    </row>
    <row r="35">
      <c r="B35" s="8"/>
      <c r="C35" s="8"/>
      <c r="D35" s="8"/>
      <c r="E35" s="8"/>
      <c r="F35" s="8"/>
      <c r="G35" s="8"/>
    </row>
    <row r="36">
      <c r="B36" s="8"/>
      <c r="C36" s="8"/>
      <c r="D36" s="8"/>
      <c r="E36" s="8"/>
      <c r="F36" s="8"/>
      <c r="G36" s="8"/>
    </row>
    <row r="37">
      <c r="B37" s="8"/>
      <c r="C37" s="8"/>
      <c r="D37" s="8"/>
      <c r="E37" s="8"/>
      <c r="F37" s="8"/>
      <c r="G37" s="8"/>
    </row>
    <row r="38">
      <c r="B38" s="8"/>
      <c r="C38" s="8"/>
      <c r="D38" s="8"/>
      <c r="E38" s="8"/>
      <c r="F38" s="8"/>
      <c r="G38" s="8"/>
    </row>
    <row r="39">
      <c r="B39" s="8"/>
      <c r="C39" s="8"/>
      <c r="D39" s="8"/>
      <c r="E39" s="8"/>
      <c r="F39" s="8"/>
      <c r="G39" s="8"/>
    </row>
    <row r="40">
      <c r="B40" s="8"/>
      <c r="C40" s="8"/>
      <c r="D40" s="8"/>
      <c r="E40" s="8"/>
      <c r="F40" s="8"/>
      <c r="G40" s="8"/>
    </row>
    <row r="41">
      <c r="B41" s="8"/>
      <c r="C41" s="8"/>
      <c r="D41" s="8"/>
      <c r="E41" s="8"/>
      <c r="F41" s="8"/>
      <c r="G41" s="8"/>
    </row>
    <row r="42">
      <c r="B42" s="8"/>
      <c r="C42" s="8"/>
      <c r="D42" s="8"/>
      <c r="E42" s="8"/>
      <c r="F42" s="8"/>
      <c r="G42" s="8"/>
    </row>
    <row r="43">
      <c r="B43" s="8"/>
      <c r="C43" s="8"/>
      <c r="D43" s="8"/>
      <c r="E43" s="8"/>
      <c r="F43" s="8"/>
      <c r="G43" s="8"/>
    </row>
    <row r="44">
      <c r="B44" s="8"/>
      <c r="C44" s="8"/>
      <c r="D44" s="8"/>
      <c r="E44" s="8"/>
      <c r="F44" s="8"/>
      <c r="G44" s="8"/>
    </row>
    <row r="45">
      <c r="B45" s="8"/>
      <c r="C45" s="8"/>
      <c r="D45" s="8"/>
      <c r="E45" s="8"/>
      <c r="F45" s="8"/>
      <c r="G45" s="8"/>
    </row>
    <row r="46">
      <c r="B46" s="8"/>
      <c r="C46" s="8"/>
      <c r="D46" s="8"/>
      <c r="E46" s="8"/>
      <c r="F46" s="8"/>
      <c r="G46" s="8"/>
    </row>
    <row r="47">
      <c r="B47" s="8"/>
      <c r="C47" s="8"/>
      <c r="D47" s="8"/>
      <c r="E47" s="8"/>
      <c r="F47" s="8"/>
      <c r="G47" s="8"/>
    </row>
    <row r="48">
      <c r="B48" s="8"/>
      <c r="C48" s="8"/>
      <c r="D48" s="8"/>
      <c r="E48" s="8"/>
      <c r="F48" s="8"/>
      <c r="G48" s="8"/>
    </row>
    <row r="49">
      <c r="B49" s="8"/>
      <c r="C49" s="8"/>
      <c r="D49" s="8"/>
      <c r="E49" s="8"/>
      <c r="F49" s="8"/>
      <c r="G49" s="8"/>
    </row>
    <row r="50">
      <c r="B50" s="8"/>
      <c r="C50" s="8"/>
      <c r="D50" s="8"/>
      <c r="E50" s="8"/>
      <c r="F50" s="8"/>
      <c r="G50" s="8"/>
    </row>
    <row r="51">
      <c r="B51" s="8"/>
      <c r="C51" s="8"/>
      <c r="D51" s="8"/>
      <c r="E51" s="8"/>
      <c r="F51" s="8"/>
      <c r="G51" s="8"/>
    </row>
    <row r="52">
      <c r="B52" s="8"/>
      <c r="C52" s="8"/>
      <c r="D52" s="8"/>
      <c r="E52" s="8"/>
      <c r="F52" s="8"/>
      <c r="G52" s="8"/>
    </row>
    <row r="53">
      <c r="B53" s="8"/>
      <c r="C53" s="8"/>
      <c r="D53" s="8"/>
      <c r="E53" s="8"/>
      <c r="F53" s="8"/>
      <c r="G53" s="8"/>
    </row>
    <row r="54">
      <c r="B54" s="8"/>
      <c r="C54" s="8"/>
      <c r="D54" s="8"/>
      <c r="E54" s="8"/>
      <c r="F54" s="8"/>
      <c r="G54" s="8"/>
    </row>
    <row r="55">
      <c r="B55" s="8"/>
      <c r="C55" s="8"/>
      <c r="D55" s="8"/>
      <c r="E55" s="8"/>
      <c r="F55" s="8"/>
      <c r="G55" s="8"/>
    </row>
    <row r="56">
      <c r="B56" s="8"/>
      <c r="C56" s="8"/>
      <c r="D56" s="8"/>
      <c r="E56" s="8"/>
      <c r="F56" s="8"/>
      <c r="G56" s="8"/>
    </row>
    <row r="57">
      <c r="B57" s="8"/>
      <c r="C57" s="8"/>
      <c r="D57" s="8"/>
      <c r="E57" s="8"/>
      <c r="F57" s="8"/>
      <c r="G57" s="8"/>
    </row>
    <row r="58">
      <c r="B58" s="8"/>
      <c r="C58" s="8"/>
      <c r="D58" s="8"/>
      <c r="E58" s="8"/>
      <c r="F58" s="8"/>
      <c r="G58" s="8"/>
    </row>
    <row r="59">
      <c r="B59" s="8"/>
      <c r="C59" s="8"/>
      <c r="D59" s="8"/>
      <c r="E59" s="8"/>
      <c r="F59" s="8"/>
      <c r="G59" s="8"/>
    </row>
    <row r="60">
      <c r="B60" s="8"/>
      <c r="C60" s="8"/>
      <c r="D60" s="8"/>
      <c r="E60" s="8"/>
      <c r="F60" s="8"/>
      <c r="G60" s="8"/>
    </row>
    <row r="61">
      <c r="B61" s="8"/>
      <c r="C61" s="8"/>
      <c r="D61" s="8"/>
      <c r="E61" s="8"/>
      <c r="F61" s="8"/>
      <c r="G61" s="8"/>
    </row>
    <row r="62">
      <c r="B62" s="8"/>
      <c r="C62" s="8"/>
      <c r="D62" s="8"/>
      <c r="E62" s="8"/>
      <c r="F62" s="8"/>
      <c r="G62" s="8"/>
    </row>
    <row r="63">
      <c r="B63" s="8"/>
      <c r="C63" s="8"/>
      <c r="D63" s="8"/>
      <c r="E63" s="8"/>
      <c r="F63" s="8"/>
      <c r="G63" s="8"/>
    </row>
    <row r="64">
      <c r="B64" s="8"/>
      <c r="C64" s="8"/>
      <c r="D64" s="8"/>
      <c r="E64" s="8"/>
      <c r="F64" s="8"/>
      <c r="G64" s="8"/>
    </row>
    <row r="65">
      <c r="B65" s="8"/>
      <c r="C65" s="8"/>
      <c r="D65" s="8"/>
      <c r="E65" s="8"/>
      <c r="F65" s="8"/>
      <c r="G65" s="8"/>
    </row>
    <row r="66">
      <c r="B66" s="8"/>
      <c r="C66" s="8"/>
      <c r="D66" s="8"/>
      <c r="E66" s="8"/>
      <c r="F66" s="8"/>
      <c r="G66" s="8"/>
    </row>
    <row r="67">
      <c r="B67" s="8"/>
      <c r="C67" s="8"/>
      <c r="D67" s="8"/>
      <c r="E67" s="8"/>
      <c r="F67" s="8"/>
      <c r="G67" s="8"/>
    </row>
    <row r="68">
      <c r="B68" s="8"/>
      <c r="C68" s="8"/>
      <c r="D68" s="8"/>
      <c r="E68" s="8"/>
      <c r="F68" s="8"/>
      <c r="G68" s="8"/>
    </row>
    <row r="69">
      <c r="B69" s="8"/>
      <c r="C69" s="8"/>
      <c r="D69" s="8"/>
      <c r="E69" s="8"/>
      <c r="F69" s="8"/>
      <c r="G69" s="8"/>
    </row>
    <row r="70">
      <c r="B70" s="8"/>
      <c r="C70" s="8"/>
      <c r="D70" s="8"/>
      <c r="E70" s="8"/>
      <c r="F70" s="8"/>
      <c r="G70" s="8"/>
    </row>
    <row r="71">
      <c r="B71" s="8"/>
      <c r="C71" s="8"/>
      <c r="D71" s="8"/>
      <c r="E71" s="8"/>
      <c r="F71" s="8"/>
      <c r="G71" s="8"/>
    </row>
    <row r="72">
      <c r="B72" s="8"/>
      <c r="C72" s="8"/>
      <c r="D72" s="8"/>
      <c r="E72" s="8"/>
      <c r="F72" s="8"/>
      <c r="G72" s="8"/>
    </row>
    <row r="73">
      <c r="B73" s="8"/>
      <c r="C73" s="8"/>
      <c r="D73" s="8"/>
      <c r="E73" s="8"/>
      <c r="F73" s="8"/>
      <c r="G73" s="8"/>
    </row>
    <row r="74">
      <c r="B74" s="8"/>
      <c r="C74" s="8"/>
      <c r="D74" s="8"/>
      <c r="E74" s="8"/>
      <c r="F74" s="8"/>
      <c r="G74" s="8"/>
    </row>
    <row r="75">
      <c r="B75" s="8"/>
      <c r="C75" s="8"/>
      <c r="D75" s="8"/>
      <c r="E75" s="8"/>
      <c r="F75" s="8"/>
      <c r="G75" s="8"/>
    </row>
    <row r="76">
      <c r="B76" s="8"/>
      <c r="C76" s="8"/>
      <c r="D76" s="8"/>
      <c r="E76" s="8"/>
      <c r="F76" s="8"/>
      <c r="G76" s="8"/>
    </row>
    <row r="77">
      <c r="B77" s="8"/>
      <c r="C77" s="8"/>
      <c r="D77" s="8"/>
      <c r="E77" s="8"/>
      <c r="F77" s="8"/>
      <c r="G77" s="8"/>
    </row>
    <row r="78">
      <c r="B78" s="8"/>
      <c r="C78" s="8"/>
      <c r="D78" s="8"/>
      <c r="E78" s="8"/>
      <c r="F78" s="8"/>
      <c r="G78" s="8"/>
    </row>
    <row r="79">
      <c r="B79" s="8"/>
      <c r="C79" s="8"/>
      <c r="D79" s="8"/>
      <c r="E79" s="8"/>
      <c r="F79" s="8"/>
      <c r="G79" s="8"/>
    </row>
    <row r="80">
      <c r="B80" s="8"/>
      <c r="C80" s="8"/>
      <c r="D80" s="8"/>
      <c r="E80" s="8"/>
      <c r="F80" s="8"/>
      <c r="G80" s="8"/>
    </row>
    <row r="81">
      <c r="B81" s="8"/>
      <c r="C81" s="8"/>
      <c r="D81" s="8"/>
      <c r="E81" s="8"/>
      <c r="F81" s="8"/>
      <c r="G81" s="8"/>
    </row>
    <row r="82">
      <c r="B82" s="8"/>
      <c r="C82" s="8"/>
      <c r="D82" s="8"/>
      <c r="E82" s="8"/>
      <c r="F82" s="8"/>
      <c r="G82" s="8"/>
    </row>
    <row r="83">
      <c r="B83" s="8"/>
      <c r="C83" s="8"/>
      <c r="D83" s="8"/>
      <c r="E83" s="8"/>
      <c r="F83" s="8"/>
      <c r="G83" s="8"/>
    </row>
    <row r="84">
      <c r="B84" s="8"/>
      <c r="C84" s="8"/>
      <c r="D84" s="8"/>
      <c r="E84" s="8"/>
      <c r="F84" s="8"/>
      <c r="G84" s="8"/>
    </row>
    <row r="85">
      <c r="B85" s="8"/>
      <c r="C85" s="8"/>
      <c r="D85" s="8"/>
      <c r="E85" s="8"/>
      <c r="F85" s="8"/>
      <c r="G85" s="8"/>
    </row>
    <row r="86">
      <c r="B86" s="8"/>
      <c r="C86" s="8"/>
      <c r="D86" s="8"/>
      <c r="E86" s="8"/>
      <c r="F86" s="8"/>
      <c r="G86" s="8"/>
    </row>
    <row r="87">
      <c r="B87" s="8"/>
      <c r="C87" s="8"/>
      <c r="D87" s="8"/>
      <c r="E87" s="8"/>
      <c r="F87" s="8"/>
      <c r="G87" s="8"/>
    </row>
    <row r="88">
      <c r="B88" s="8"/>
      <c r="C88" s="8"/>
      <c r="D88" s="8"/>
      <c r="E88" s="8"/>
      <c r="F88" s="8"/>
      <c r="G88" s="8"/>
    </row>
    <row r="89">
      <c r="B89" s="8"/>
      <c r="C89" s="8"/>
      <c r="D89" s="8"/>
      <c r="E89" s="8"/>
      <c r="F89" s="8"/>
      <c r="G89" s="8"/>
    </row>
    <row r="90">
      <c r="B90" s="8"/>
      <c r="C90" s="8"/>
      <c r="D90" s="8"/>
      <c r="E90" s="8"/>
      <c r="F90" s="8"/>
      <c r="G90" s="8"/>
    </row>
    <row r="91">
      <c r="B91" s="8"/>
      <c r="C91" s="8"/>
      <c r="D91" s="8"/>
      <c r="E91" s="8"/>
      <c r="F91" s="8"/>
      <c r="G91" s="8"/>
    </row>
    <row r="92">
      <c r="B92" s="8"/>
      <c r="C92" s="8"/>
      <c r="D92" s="8"/>
      <c r="E92" s="8"/>
      <c r="F92" s="8"/>
      <c r="G92" s="8"/>
    </row>
    <row r="93">
      <c r="B93" s="8"/>
      <c r="C93" s="8"/>
      <c r="D93" s="8"/>
      <c r="E93" s="8"/>
      <c r="F93" s="8"/>
      <c r="G93" s="8"/>
    </row>
    <row r="94">
      <c r="B94" s="8"/>
      <c r="C94" s="8"/>
      <c r="D94" s="8"/>
      <c r="E94" s="8"/>
      <c r="F94" s="8"/>
      <c r="G94" s="8"/>
    </row>
    <row r="95">
      <c r="B95" s="8"/>
      <c r="C95" s="8"/>
      <c r="D95" s="8"/>
      <c r="E95" s="8"/>
      <c r="F95" s="8"/>
      <c r="G95" s="8"/>
    </row>
    <row r="96">
      <c r="B96" s="8"/>
      <c r="C96" s="8"/>
      <c r="D96" s="8"/>
      <c r="E96" s="8"/>
      <c r="F96" s="8"/>
      <c r="G96" s="8"/>
    </row>
    <row r="97">
      <c r="B97" s="8"/>
      <c r="C97" s="8"/>
      <c r="D97" s="8"/>
      <c r="E97" s="8"/>
      <c r="F97" s="8"/>
      <c r="G97" s="8"/>
    </row>
    <row r="98">
      <c r="B98" s="8"/>
      <c r="C98" s="8"/>
      <c r="D98" s="8"/>
      <c r="E98" s="8"/>
      <c r="F98" s="8"/>
      <c r="G98" s="8"/>
    </row>
    <row r="99">
      <c r="B99" s="8"/>
      <c r="C99" s="8"/>
      <c r="D99" s="8"/>
      <c r="E99" s="8"/>
      <c r="F99" s="8"/>
      <c r="G99" s="8"/>
    </row>
    <row r="100">
      <c r="B100" s="8"/>
      <c r="C100" s="8"/>
      <c r="D100" s="8"/>
      <c r="E100" s="8"/>
      <c r="F100" s="8"/>
      <c r="G100" s="8"/>
    </row>
    <row r="101">
      <c r="B101" s="8"/>
      <c r="C101" s="8"/>
      <c r="D101" s="8"/>
      <c r="E101" s="8"/>
      <c r="F101" s="8"/>
      <c r="G101" s="8"/>
    </row>
    <row r="102">
      <c r="B102" s="8"/>
      <c r="C102" s="8"/>
      <c r="D102" s="8"/>
      <c r="E102" s="8"/>
      <c r="F102" s="8"/>
      <c r="G102" s="8"/>
    </row>
    <row r="103">
      <c r="B103" s="8"/>
      <c r="C103" s="8"/>
      <c r="D103" s="8"/>
      <c r="E103" s="8"/>
      <c r="F103" s="8"/>
      <c r="G103" s="8"/>
    </row>
    <row r="104">
      <c r="B104" s="8"/>
      <c r="C104" s="8"/>
      <c r="D104" s="8"/>
      <c r="E104" s="8"/>
      <c r="F104" s="8"/>
      <c r="G104" s="8"/>
    </row>
    <row r="105">
      <c r="B105" s="8"/>
      <c r="C105" s="8"/>
      <c r="D105" s="8"/>
      <c r="E105" s="8"/>
      <c r="F105" s="8"/>
      <c r="G105" s="8"/>
    </row>
    <row r="106">
      <c r="B106" s="8"/>
      <c r="C106" s="8"/>
      <c r="D106" s="8"/>
      <c r="E106" s="8"/>
      <c r="F106" s="8"/>
      <c r="G106" s="8"/>
    </row>
    <row r="107">
      <c r="B107" s="8"/>
      <c r="C107" s="8"/>
      <c r="D107" s="8"/>
      <c r="E107" s="8"/>
      <c r="F107" s="8"/>
      <c r="G107" s="8"/>
    </row>
    <row r="108">
      <c r="B108" s="8"/>
      <c r="C108" s="8"/>
      <c r="D108" s="8"/>
      <c r="E108" s="8"/>
      <c r="F108" s="8"/>
      <c r="G108" s="8"/>
    </row>
    <row r="109">
      <c r="B109" s="8"/>
      <c r="C109" s="8"/>
      <c r="D109" s="8"/>
      <c r="E109" s="8"/>
      <c r="F109" s="8"/>
      <c r="G109" s="8"/>
    </row>
    <row r="110">
      <c r="B110" s="8"/>
      <c r="C110" s="8"/>
      <c r="D110" s="8"/>
      <c r="E110" s="8"/>
      <c r="F110" s="8"/>
      <c r="G110" s="8"/>
    </row>
    <row r="111">
      <c r="B111" s="8"/>
      <c r="C111" s="8"/>
      <c r="D111" s="8"/>
      <c r="E111" s="8"/>
      <c r="F111" s="8"/>
      <c r="G111" s="8"/>
    </row>
    <row r="112">
      <c r="B112" s="8"/>
      <c r="C112" s="8"/>
      <c r="D112" s="8"/>
      <c r="E112" s="8"/>
      <c r="F112" s="8"/>
      <c r="G112" s="8"/>
    </row>
    <row r="113">
      <c r="B113" s="8"/>
      <c r="C113" s="8"/>
      <c r="D113" s="8"/>
      <c r="E113" s="8"/>
      <c r="F113" s="8"/>
      <c r="G113" s="8"/>
    </row>
    <row r="114">
      <c r="B114" s="8"/>
      <c r="C114" s="8"/>
      <c r="D114" s="8"/>
      <c r="E114" s="8"/>
      <c r="F114" s="8"/>
      <c r="G114" s="8"/>
    </row>
    <row r="115">
      <c r="B115" s="8"/>
      <c r="C115" s="8"/>
      <c r="D115" s="8"/>
      <c r="E115" s="8"/>
      <c r="F115" s="8"/>
      <c r="G115" s="8"/>
    </row>
    <row r="116">
      <c r="B116" s="8"/>
      <c r="C116" s="8"/>
      <c r="D116" s="8"/>
      <c r="E116" s="8"/>
      <c r="F116" s="8"/>
      <c r="G116" s="8"/>
    </row>
    <row r="117">
      <c r="B117" s="8"/>
      <c r="C117" s="8"/>
      <c r="D117" s="8"/>
      <c r="E117" s="8"/>
      <c r="F117" s="8"/>
      <c r="G117" s="8"/>
    </row>
    <row r="118">
      <c r="B118" s="8"/>
      <c r="C118" s="8"/>
      <c r="D118" s="8"/>
      <c r="E118" s="8"/>
      <c r="F118" s="8"/>
      <c r="G118" s="8"/>
    </row>
    <row r="119">
      <c r="B119" s="8"/>
      <c r="C119" s="8"/>
      <c r="D119" s="8"/>
      <c r="E119" s="8"/>
      <c r="F119" s="8"/>
      <c r="G119" s="8"/>
    </row>
    <row r="120">
      <c r="B120" s="8"/>
      <c r="C120" s="8"/>
      <c r="D120" s="8"/>
      <c r="E120" s="8"/>
      <c r="F120" s="8"/>
      <c r="G120" s="8"/>
    </row>
    <row r="121">
      <c r="B121" s="8"/>
      <c r="C121" s="8"/>
      <c r="D121" s="8"/>
      <c r="E121" s="8"/>
      <c r="F121" s="8"/>
      <c r="G121" s="8"/>
    </row>
    <row r="122">
      <c r="B122" s="8"/>
      <c r="C122" s="8"/>
      <c r="D122" s="8"/>
      <c r="E122" s="8"/>
      <c r="F122" s="8"/>
      <c r="G122" s="8"/>
    </row>
    <row r="123">
      <c r="B123" s="8"/>
      <c r="C123" s="8"/>
      <c r="D123" s="8"/>
      <c r="E123" s="8"/>
      <c r="F123" s="8"/>
      <c r="G123" s="8"/>
    </row>
    <row r="124">
      <c r="B124" s="8"/>
      <c r="C124" s="8"/>
      <c r="D124" s="8"/>
      <c r="E124" s="8"/>
      <c r="F124" s="8"/>
      <c r="G124" s="8"/>
    </row>
    <row r="125">
      <c r="B125" s="8"/>
      <c r="C125" s="8"/>
      <c r="D125" s="8"/>
      <c r="E125" s="8"/>
      <c r="F125" s="8"/>
      <c r="G125" s="8"/>
    </row>
    <row r="126">
      <c r="B126" s="8"/>
      <c r="C126" s="8"/>
      <c r="D126" s="8"/>
      <c r="E126" s="8"/>
      <c r="F126" s="8"/>
      <c r="G126" s="8"/>
    </row>
    <row r="127">
      <c r="B127" s="8"/>
      <c r="C127" s="8"/>
      <c r="D127" s="8"/>
      <c r="E127" s="8"/>
      <c r="F127" s="8"/>
      <c r="G127" s="8"/>
    </row>
    <row r="128">
      <c r="B128" s="8"/>
      <c r="C128" s="8"/>
      <c r="D128" s="8"/>
      <c r="E128" s="8"/>
      <c r="F128" s="8"/>
      <c r="G128" s="8"/>
    </row>
    <row r="129">
      <c r="B129" s="8"/>
      <c r="C129" s="8"/>
      <c r="D129" s="8"/>
      <c r="E129" s="8"/>
      <c r="F129" s="8"/>
      <c r="G129" s="8"/>
    </row>
    <row r="130">
      <c r="B130" s="8"/>
      <c r="C130" s="8"/>
      <c r="D130" s="8"/>
      <c r="E130" s="8"/>
      <c r="F130" s="8"/>
      <c r="G130" s="8"/>
    </row>
    <row r="131">
      <c r="B131" s="8"/>
      <c r="C131" s="8"/>
      <c r="D131" s="8"/>
      <c r="E131" s="8"/>
      <c r="F131" s="8"/>
      <c r="G131" s="8"/>
    </row>
    <row r="132">
      <c r="B132" s="8"/>
      <c r="C132" s="8"/>
      <c r="D132" s="8"/>
      <c r="E132" s="8"/>
      <c r="F132" s="8"/>
      <c r="G132" s="8"/>
    </row>
    <row r="133">
      <c r="B133" s="8"/>
      <c r="C133" s="8"/>
      <c r="D133" s="8"/>
      <c r="E133" s="8"/>
      <c r="F133" s="8"/>
      <c r="G133" s="8"/>
    </row>
    <row r="134">
      <c r="B134" s="8"/>
      <c r="C134" s="8"/>
      <c r="D134" s="8"/>
      <c r="E134" s="8"/>
      <c r="F134" s="8"/>
      <c r="G134" s="8"/>
    </row>
    <row r="135">
      <c r="B135" s="8"/>
      <c r="C135" s="8"/>
      <c r="D135" s="8"/>
      <c r="E135" s="8"/>
      <c r="F135" s="8"/>
      <c r="G135" s="8"/>
    </row>
    <row r="136">
      <c r="B136" s="8"/>
      <c r="C136" s="8"/>
      <c r="D136" s="8"/>
      <c r="E136" s="8"/>
      <c r="F136" s="8"/>
      <c r="G136" s="8"/>
    </row>
    <row r="137">
      <c r="B137" s="8"/>
      <c r="C137" s="8"/>
      <c r="D137" s="8"/>
      <c r="E137" s="8"/>
      <c r="F137" s="8"/>
      <c r="G137" s="8"/>
    </row>
    <row r="138">
      <c r="B138" s="8"/>
      <c r="C138" s="8"/>
      <c r="D138" s="8"/>
      <c r="E138" s="8"/>
      <c r="F138" s="8"/>
      <c r="G138" s="8"/>
    </row>
    <row r="139">
      <c r="B139" s="8"/>
      <c r="C139" s="8"/>
      <c r="D139" s="8"/>
      <c r="E139" s="8"/>
      <c r="F139" s="8"/>
      <c r="G139" s="8"/>
    </row>
    <row r="140">
      <c r="B140" s="8"/>
      <c r="C140" s="8"/>
      <c r="D140" s="8"/>
      <c r="E140" s="8"/>
      <c r="F140" s="8"/>
      <c r="G140" s="8"/>
    </row>
    <row r="141">
      <c r="B141" s="8"/>
      <c r="C141" s="8"/>
      <c r="D141" s="8"/>
      <c r="E141" s="8"/>
      <c r="F141" s="8"/>
      <c r="G141" s="8"/>
    </row>
    <row r="142">
      <c r="B142" s="8"/>
      <c r="C142" s="8"/>
      <c r="D142" s="8"/>
      <c r="E142" s="8"/>
      <c r="F142" s="8"/>
      <c r="G142" s="8"/>
    </row>
    <row r="143">
      <c r="B143" s="8"/>
      <c r="C143" s="8"/>
      <c r="D143" s="8"/>
      <c r="E143" s="8"/>
      <c r="F143" s="8"/>
      <c r="G143" s="8"/>
    </row>
    <row r="144">
      <c r="B144" s="8"/>
      <c r="C144" s="8"/>
      <c r="D144" s="8"/>
      <c r="E144" s="8"/>
      <c r="F144" s="8"/>
      <c r="G144" s="8"/>
    </row>
    <row r="145">
      <c r="B145" s="8"/>
      <c r="C145" s="8"/>
      <c r="D145" s="8"/>
      <c r="E145" s="8"/>
      <c r="F145" s="8"/>
      <c r="G145" s="8"/>
    </row>
    <row r="146">
      <c r="B146" s="8"/>
      <c r="C146" s="8"/>
      <c r="D146" s="8"/>
      <c r="E146" s="8"/>
      <c r="F146" s="8"/>
      <c r="G146" s="8"/>
    </row>
    <row r="147">
      <c r="B147" s="8"/>
      <c r="C147" s="8"/>
      <c r="D147" s="8"/>
      <c r="E147" s="8"/>
      <c r="F147" s="8"/>
      <c r="G147" s="8"/>
    </row>
    <row r="148">
      <c r="B148" s="8"/>
      <c r="C148" s="8"/>
      <c r="D148" s="8"/>
      <c r="E148" s="8"/>
      <c r="F148" s="8"/>
      <c r="G148" s="8"/>
    </row>
    <row r="149">
      <c r="B149" s="8"/>
      <c r="C149" s="8"/>
      <c r="D149" s="8"/>
      <c r="E149" s="8"/>
      <c r="F149" s="8"/>
      <c r="G149" s="8"/>
    </row>
    <row r="150">
      <c r="B150" s="8"/>
      <c r="C150" s="8"/>
      <c r="D150" s="8"/>
      <c r="E150" s="8"/>
      <c r="F150" s="8"/>
      <c r="G150" s="8"/>
    </row>
    <row r="151">
      <c r="B151" s="8"/>
      <c r="C151" s="8"/>
      <c r="D151" s="8"/>
      <c r="E151" s="8"/>
      <c r="F151" s="8"/>
      <c r="G151" s="8"/>
    </row>
    <row r="152">
      <c r="B152" s="8"/>
      <c r="C152" s="8"/>
      <c r="D152" s="8"/>
      <c r="E152" s="8"/>
      <c r="F152" s="8"/>
      <c r="G152" s="8"/>
    </row>
    <row r="153">
      <c r="B153" s="8"/>
      <c r="C153" s="8"/>
      <c r="D153" s="8"/>
      <c r="E153" s="8"/>
      <c r="F153" s="8"/>
      <c r="G153" s="8"/>
    </row>
    <row r="154">
      <c r="B154" s="8"/>
      <c r="C154" s="8"/>
      <c r="D154" s="8"/>
      <c r="E154" s="8"/>
      <c r="F154" s="8"/>
      <c r="G154" s="8"/>
    </row>
    <row r="155">
      <c r="B155" s="8"/>
      <c r="C155" s="8"/>
      <c r="D155" s="8"/>
      <c r="E155" s="8"/>
      <c r="F155" s="8"/>
      <c r="G155" s="8"/>
    </row>
    <row r="156">
      <c r="B156" s="8"/>
      <c r="C156" s="8"/>
      <c r="D156" s="8"/>
      <c r="E156" s="8"/>
      <c r="F156" s="8"/>
      <c r="G156" s="8"/>
    </row>
    <row r="157">
      <c r="B157" s="8"/>
      <c r="C157" s="8"/>
      <c r="D157" s="8"/>
      <c r="E157" s="8"/>
      <c r="F157" s="8"/>
      <c r="G157" s="8"/>
    </row>
    <row r="158">
      <c r="B158" s="8"/>
      <c r="C158" s="8"/>
      <c r="D158" s="8"/>
      <c r="E158" s="8"/>
      <c r="F158" s="8"/>
      <c r="G158" s="8"/>
    </row>
    <row r="159">
      <c r="B159" s="8"/>
      <c r="C159" s="8"/>
      <c r="D159" s="8"/>
      <c r="E159" s="8"/>
      <c r="F159" s="8"/>
      <c r="G159" s="8"/>
    </row>
    <row r="160">
      <c r="B160" s="8"/>
      <c r="C160" s="8"/>
      <c r="D160" s="8"/>
      <c r="E160" s="8"/>
      <c r="F160" s="8"/>
      <c r="G160" s="8"/>
    </row>
    <row r="161">
      <c r="B161" s="8"/>
      <c r="C161" s="8"/>
      <c r="D161" s="8"/>
      <c r="E161" s="8"/>
      <c r="F161" s="8"/>
      <c r="G161" s="8"/>
    </row>
    <row r="162">
      <c r="B162" s="8"/>
      <c r="C162" s="8"/>
      <c r="D162" s="8"/>
      <c r="E162" s="8"/>
      <c r="F162" s="8"/>
      <c r="G162" s="8"/>
    </row>
    <row r="163">
      <c r="B163" s="8"/>
      <c r="C163" s="8"/>
      <c r="D163" s="8"/>
      <c r="E163" s="8"/>
      <c r="F163" s="8"/>
      <c r="G163" s="8"/>
    </row>
    <row r="164">
      <c r="B164" s="8"/>
      <c r="C164" s="8"/>
      <c r="D164" s="8"/>
      <c r="E164" s="8"/>
      <c r="F164" s="8"/>
      <c r="G164" s="8"/>
    </row>
    <row r="165">
      <c r="B165" s="8"/>
      <c r="C165" s="8"/>
      <c r="D165" s="8"/>
      <c r="E165" s="8"/>
      <c r="F165" s="8"/>
      <c r="G165" s="8"/>
    </row>
    <row r="166">
      <c r="B166" s="8"/>
      <c r="C166" s="8"/>
      <c r="D166" s="8"/>
      <c r="E166" s="8"/>
      <c r="F166" s="8"/>
      <c r="G166" s="8"/>
    </row>
    <row r="167">
      <c r="B167" s="8"/>
      <c r="C167" s="8"/>
      <c r="D167" s="8"/>
      <c r="E167" s="8"/>
      <c r="F167" s="8"/>
      <c r="G167" s="8"/>
    </row>
    <row r="168">
      <c r="B168" s="8"/>
      <c r="C168" s="8"/>
      <c r="D168" s="8"/>
      <c r="E168" s="8"/>
      <c r="F168" s="8"/>
      <c r="G168" s="8"/>
    </row>
    <row r="169">
      <c r="B169" s="8"/>
      <c r="C169" s="8"/>
      <c r="D169" s="8"/>
      <c r="E169" s="8"/>
      <c r="F169" s="8"/>
      <c r="G169" s="8"/>
    </row>
    <row r="170">
      <c r="B170" s="8"/>
      <c r="C170" s="8"/>
      <c r="D170" s="8"/>
      <c r="E170" s="8"/>
      <c r="F170" s="8"/>
      <c r="G170" s="8"/>
    </row>
    <row r="171">
      <c r="B171" s="8"/>
      <c r="C171" s="8"/>
      <c r="D171" s="8"/>
      <c r="E171" s="8"/>
      <c r="F171" s="8"/>
      <c r="G171" s="8"/>
    </row>
    <row r="172">
      <c r="B172" s="8"/>
      <c r="C172" s="8"/>
      <c r="D172" s="8"/>
      <c r="E172" s="8"/>
      <c r="F172" s="8"/>
      <c r="G172" s="8"/>
    </row>
    <row r="173">
      <c r="B173" s="8"/>
      <c r="C173" s="8"/>
      <c r="D173" s="8"/>
      <c r="E173" s="8"/>
      <c r="F173" s="8"/>
      <c r="G173" s="8"/>
    </row>
    <row r="174">
      <c r="B174" s="8"/>
      <c r="C174" s="8"/>
      <c r="D174" s="8"/>
      <c r="E174" s="8"/>
      <c r="F174" s="8"/>
      <c r="G174" s="8"/>
    </row>
    <row r="175">
      <c r="B175" s="8"/>
      <c r="C175" s="8"/>
      <c r="D175" s="8"/>
      <c r="E175" s="8"/>
      <c r="F175" s="8"/>
      <c r="G175" s="8"/>
    </row>
    <row r="176">
      <c r="B176" s="8"/>
      <c r="C176" s="8"/>
      <c r="D176" s="8"/>
      <c r="E176" s="8"/>
      <c r="F176" s="8"/>
      <c r="G176" s="8"/>
    </row>
    <row r="177">
      <c r="B177" s="8"/>
      <c r="C177" s="8"/>
      <c r="D177" s="8"/>
      <c r="E177" s="8"/>
      <c r="F177" s="8"/>
      <c r="G177" s="8"/>
    </row>
    <row r="178">
      <c r="B178" s="8"/>
      <c r="C178" s="8"/>
      <c r="D178" s="8"/>
      <c r="E178" s="8"/>
      <c r="F178" s="8"/>
      <c r="G178" s="8"/>
    </row>
    <row r="179">
      <c r="B179" s="8"/>
      <c r="C179" s="8"/>
      <c r="D179" s="8"/>
      <c r="E179" s="8"/>
      <c r="F179" s="8"/>
      <c r="G179" s="8"/>
    </row>
    <row r="180">
      <c r="B180" s="8"/>
      <c r="C180" s="8"/>
      <c r="D180" s="8"/>
      <c r="E180" s="8"/>
      <c r="F180" s="8"/>
      <c r="G180" s="8"/>
    </row>
    <row r="181">
      <c r="B181" s="8"/>
      <c r="C181" s="8"/>
      <c r="D181" s="8"/>
      <c r="E181" s="8"/>
      <c r="F181" s="8"/>
      <c r="G181" s="8"/>
    </row>
    <row r="182">
      <c r="B182" s="8"/>
      <c r="C182" s="8"/>
      <c r="D182" s="8"/>
      <c r="E182" s="8"/>
      <c r="F182" s="8"/>
      <c r="G182" s="8"/>
    </row>
    <row r="183">
      <c r="B183" s="8"/>
      <c r="C183" s="8"/>
      <c r="D183" s="8"/>
      <c r="E183" s="8"/>
      <c r="F183" s="8"/>
      <c r="G183" s="8"/>
    </row>
    <row r="184">
      <c r="B184" s="8"/>
      <c r="C184" s="8"/>
      <c r="D184" s="8"/>
      <c r="E184" s="8"/>
      <c r="F184" s="8"/>
      <c r="G184" s="8"/>
    </row>
    <row r="185">
      <c r="B185" s="8"/>
      <c r="C185" s="8"/>
      <c r="D185" s="8"/>
      <c r="E185" s="8"/>
      <c r="F185" s="8"/>
      <c r="G185" s="8"/>
    </row>
    <row r="186">
      <c r="B186" s="8"/>
      <c r="C186" s="8"/>
      <c r="D186" s="8"/>
      <c r="E186" s="8"/>
      <c r="F186" s="8"/>
      <c r="G186" s="8"/>
    </row>
    <row r="187">
      <c r="B187" s="8"/>
      <c r="C187" s="8"/>
      <c r="D187" s="8"/>
      <c r="E187" s="8"/>
      <c r="F187" s="8"/>
      <c r="G187" s="8"/>
    </row>
    <row r="188">
      <c r="B188" s="8"/>
      <c r="C188" s="8"/>
      <c r="D188" s="8"/>
      <c r="E188" s="8"/>
      <c r="F188" s="8"/>
      <c r="G188" s="8"/>
    </row>
    <row r="189">
      <c r="B189" s="8"/>
      <c r="C189" s="8"/>
      <c r="D189" s="8"/>
      <c r="E189" s="8"/>
      <c r="F189" s="8"/>
      <c r="G189" s="8"/>
    </row>
    <row r="190">
      <c r="B190" s="8"/>
      <c r="C190" s="8"/>
      <c r="D190" s="8"/>
      <c r="E190" s="8"/>
      <c r="F190" s="8"/>
      <c r="G190" s="8"/>
    </row>
    <row r="191">
      <c r="B191" s="8"/>
      <c r="C191" s="8"/>
      <c r="D191" s="8"/>
      <c r="E191" s="8"/>
      <c r="F191" s="8"/>
      <c r="G191" s="8"/>
    </row>
    <row r="192">
      <c r="B192" s="8"/>
      <c r="C192" s="8"/>
      <c r="D192" s="8"/>
      <c r="E192" s="8"/>
      <c r="F192" s="8"/>
      <c r="G192" s="8"/>
    </row>
    <row r="193">
      <c r="B193" s="8"/>
      <c r="C193" s="8"/>
      <c r="D193" s="8"/>
      <c r="E193" s="8"/>
      <c r="F193" s="8"/>
      <c r="G193" s="8"/>
    </row>
    <row r="194">
      <c r="B194" s="8"/>
      <c r="C194" s="8"/>
      <c r="D194" s="8"/>
      <c r="E194" s="8"/>
      <c r="F194" s="8"/>
      <c r="G194" s="8"/>
    </row>
    <row r="195">
      <c r="B195" s="8"/>
      <c r="C195" s="8"/>
      <c r="D195" s="8"/>
      <c r="E195" s="8"/>
      <c r="F195" s="8"/>
      <c r="G195" s="8"/>
    </row>
    <row r="196">
      <c r="B196" s="8"/>
      <c r="C196" s="8"/>
      <c r="D196" s="8"/>
      <c r="E196" s="8"/>
      <c r="F196" s="8"/>
      <c r="G196" s="8"/>
    </row>
    <row r="197">
      <c r="B197" s="8"/>
      <c r="C197" s="8"/>
      <c r="D197" s="8"/>
      <c r="E197" s="8"/>
      <c r="F197" s="8"/>
      <c r="G197" s="8"/>
    </row>
    <row r="198">
      <c r="B198" s="8"/>
      <c r="C198" s="8"/>
      <c r="D198" s="8"/>
      <c r="E198" s="8"/>
      <c r="F198" s="8"/>
      <c r="G198" s="8"/>
    </row>
    <row r="199">
      <c r="B199" s="8"/>
      <c r="C199" s="8"/>
      <c r="D199" s="8"/>
      <c r="E199" s="8"/>
      <c r="F199" s="8"/>
      <c r="G199" s="8"/>
    </row>
    <row r="200">
      <c r="B200" s="8"/>
      <c r="C200" s="8"/>
      <c r="D200" s="8"/>
      <c r="E200" s="8"/>
      <c r="F200" s="8"/>
      <c r="G200" s="8"/>
    </row>
    <row r="201">
      <c r="B201" s="8"/>
      <c r="C201" s="8"/>
      <c r="D201" s="8"/>
      <c r="E201" s="8"/>
      <c r="F201" s="8"/>
      <c r="G201" s="8"/>
    </row>
    <row r="202">
      <c r="B202" s="8"/>
      <c r="C202" s="8"/>
      <c r="D202" s="8"/>
      <c r="E202" s="8"/>
      <c r="F202" s="8"/>
      <c r="G202" s="8"/>
    </row>
    <row r="203">
      <c r="B203" s="8"/>
      <c r="C203" s="8"/>
      <c r="D203" s="8"/>
      <c r="E203" s="8"/>
      <c r="F203" s="8"/>
      <c r="G203" s="8"/>
    </row>
    <row r="204">
      <c r="B204" s="8"/>
      <c r="C204" s="8"/>
      <c r="D204" s="8"/>
      <c r="E204" s="8"/>
      <c r="F204" s="8"/>
      <c r="G204" s="8"/>
    </row>
    <row r="205">
      <c r="B205" s="8"/>
      <c r="C205" s="8"/>
      <c r="D205" s="8"/>
      <c r="E205" s="8"/>
      <c r="F205" s="8"/>
      <c r="G205" s="8"/>
    </row>
    <row r="206">
      <c r="B206" s="8"/>
      <c r="C206" s="8"/>
      <c r="D206" s="8"/>
      <c r="E206" s="8"/>
      <c r="F206" s="8"/>
      <c r="G206" s="8"/>
    </row>
    <row r="207">
      <c r="B207" s="8"/>
      <c r="C207" s="8"/>
      <c r="D207" s="8"/>
      <c r="E207" s="8"/>
      <c r="F207" s="8"/>
      <c r="G207" s="8"/>
    </row>
    <row r="208">
      <c r="B208" s="8"/>
      <c r="C208" s="8"/>
      <c r="D208" s="8"/>
      <c r="E208" s="8"/>
      <c r="F208" s="8"/>
      <c r="G208" s="8"/>
    </row>
    <row r="209">
      <c r="B209" s="8"/>
      <c r="C209" s="8"/>
      <c r="D209" s="8"/>
      <c r="E209" s="8"/>
      <c r="F209" s="8"/>
      <c r="G209" s="8"/>
    </row>
    <row r="210">
      <c r="B210" s="8"/>
      <c r="C210" s="8"/>
      <c r="D210" s="8"/>
      <c r="E210" s="8"/>
      <c r="F210" s="8"/>
      <c r="G210" s="8"/>
    </row>
    <row r="211">
      <c r="B211" s="8"/>
      <c r="C211" s="8"/>
      <c r="D211" s="8"/>
      <c r="E211" s="8"/>
      <c r="F211" s="8"/>
      <c r="G211" s="8"/>
    </row>
    <row r="212">
      <c r="B212" s="8"/>
      <c r="C212" s="8"/>
      <c r="D212" s="8"/>
      <c r="E212" s="8"/>
      <c r="F212" s="8"/>
      <c r="G212" s="8"/>
    </row>
    <row r="213">
      <c r="B213" s="8"/>
      <c r="C213" s="8"/>
      <c r="D213" s="8"/>
      <c r="E213" s="8"/>
      <c r="F213" s="8"/>
      <c r="G213" s="8"/>
    </row>
    <row r="214">
      <c r="B214" s="8"/>
      <c r="C214" s="8"/>
      <c r="D214" s="8"/>
      <c r="E214" s="8"/>
      <c r="F214" s="8"/>
      <c r="G214" s="8"/>
    </row>
    <row r="215">
      <c r="B215" s="8"/>
      <c r="C215" s="8"/>
      <c r="D215" s="8"/>
      <c r="E215" s="8"/>
      <c r="F215" s="8"/>
      <c r="G215" s="8"/>
    </row>
    <row r="216">
      <c r="B216" s="8"/>
      <c r="C216" s="8"/>
      <c r="D216" s="8"/>
      <c r="E216" s="8"/>
      <c r="F216" s="8"/>
      <c r="G216" s="8"/>
    </row>
    <row r="217">
      <c r="B217" s="8"/>
      <c r="C217" s="8"/>
      <c r="D217" s="8"/>
      <c r="E217" s="8"/>
      <c r="F217" s="8"/>
      <c r="G217" s="8"/>
    </row>
    <row r="218">
      <c r="B218" s="8"/>
      <c r="C218" s="8"/>
      <c r="D218" s="8"/>
      <c r="E218" s="8"/>
      <c r="F218" s="8"/>
      <c r="G218" s="8"/>
    </row>
    <row r="219">
      <c r="B219" s="8"/>
      <c r="C219" s="8"/>
      <c r="D219" s="8"/>
      <c r="E219" s="8"/>
      <c r="F219" s="8"/>
      <c r="G219" s="8"/>
    </row>
    <row r="220">
      <c r="B220" s="8"/>
      <c r="C220" s="8"/>
      <c r="D220" s="8"/>
      <c r="E220" s="8"/>
      <c r="F220" s="8"/>
      <c r="G220" s="8"/>
    </row>
    <row r="221">
      <c r="B221" s="8"/>
      <c r="C221" s="8"/>
      <c r="D221" s="8"/>
      <c r="E221" s="8"/>
      <c r="F221" s="8"/>
      <c r="G221" s="8"/>
    </row>
    <row r="222">
      <c r="B222" s="8"/>
      <c r="C222" s="8"/>
      <c r="D222" s="8"/>
      <c r="E222" s="8"/>
      <c r="F222" s="8"/>
      <c r="G222" s="8"/>
    </row>
    <row r="223">
      <c r="B223" s="8"/>
      <c r="C223" s="8"/>
      <c r="D223" s="8"/>
      <c r="E223" s="8"/>
      <c r="F223" s="8"/>
      <c r="G223" s="8"/>
    </row>
    <row r="224">
      <c r="B224" s="8"/>
      <c r="C224" s="8"/>
      <c r="D224" s="8"/>
      <c r="E224" s="8"/>
      <c r="F224" s="8"/>
      <c r="G224" s="8"/>
    </row>
    <row r="225">
      <c r="B225" s="8"/>
      <c r="C225" s="8"/>
      <c r="D225" s="8"/>
      <c r="E225" s="8"/>
      <c r="F225" s="8"/>
      <c r="G225" s="8"/>
    </row>
    <row r="226">
      <c r="B226" s="8"/>
      <c r="C226" s="8"/>
      <c r="D226" s="8"/>
      <c r="E226" s="8"/>
      <c r="F226" s="8"/>
      <c r="G226" s="8"/>
    </row>
    <row r="227">
      <c r="B227" s="8"/>
      <c r="C227" s="8"/>
      <c r="D227" s="8"/>
      <c r="E227" s="8"/>
      <c r="F227" s="8"/>
      <c r="G227" s="8"/>
    </row>
    <row r="228">
      <c r="B228" s="8"/>
      <c r="C228" s="8"/>
      <c r="D228" s="8"/>
      <c r="E228" s="8"/>
      <c r="F228" s="8"/>
      <c r="G228" s="8"/>
    </row>
    <row r="229">
      <c r="B229" s="8"/>
      <c r="C229" s="8"/>
      <c r="D229" s="8"/>
      <c r="E229" s="8"/>
      <c r="F229" s="8"/>
      <c r="G229" s="8"/>
    </row>
    <row r="230">
      <c r="B230" s="8"/>
      <c r="C230" s="8"/>
      <c r="D230" s="8"/>
      <c r="E230" s="8"/>
      <c r="F230" s="8"/>
      <c r="G230" s="8"/>
    </row>
    <row r="231">
      <c r="B231" s="8"/>
      <c r="C231" s="8"/>
      <c r="D231" s="8"/>
      <c r="E231" s="8"/>
      <c r="F231" s="8"/>
      <c r="G231" s="8"/>
    </row>
    <row r="232">
      <c r="B232" s="8"/>
      <c r="C232" s="8"/>
      <c r="D232" s="8"/>
      <c r="E232" s="8"/>
      <c r="F232" s="8"/>
      <c r="G232" s="8"/>
    </row>
    <row r="233">
      <c r="B233" s="8"/>
      <c r="C233" s="8"/>
      <c r="D233" s="8"/>
      <c r="E233" s="8"/>
      <c r="F233" s="8"/>
      <c r="G233" s="8"/>
    </row>
    <row r="234">
      <c r="B234" s="8"/>
      <c r="C234" s="8"/>
      <c r="D234" s="8"/>
      <c r="E234" s="8"/>
      <c r="F234" s="8"/>
      <c r="G234" s="8"/>
    </row>
    <row r="235">
      <c r="B235" s="8"/>
      <c r="C235" s="8"/>
      <c r="D235" s="8"/>
      <c r="E235" s="8"/>
      <c r="F235" s="8"/>
      <c r="G235" s="8"/>
    </row>
    <row r="236">
      <c r="B236" s="8"/>
      <c r="C236" s="8"/>
      <c r="D236" s="8"/>
      <c r="E236" s="8"/>
      <c r="F236" s="8"/>
      <c r="G236" s="8"/>
    </row>
    <row r="237">
      <c r="B237" s="8"/>
      <c r="C237" s="8"/>
      <c r="D237" s="8"/>
      <c r="E237" s="8"/>
      <c r="F237" s="8"/>
      <c r="G237" s="8"/>
    </row>
    <row r="238">
      <c r="B238" s="8"/>
      <c r="C238" s="8"/>
      <c r="D238" s="8"/>
      <c r="E238" s="8"/>
      <c r="F238" s="8"/>
      <c r="G238" s="8"/>
    </row>
    <row r="239">
      <c r="B239" s="8"/>
      <c r="C239" s="8"/>
      <c r="D239" s="8"/>
      <c r="E239" s="8"/>
      <c r="F239" s="8"/>
      <c r="G239" s="8"/>
    </row>
    <row r="240">
      <c r="B240" s="8"/>
      <c r="C240" s="8"/>
      <c r="D240" s="8"/>
      <c r="E240" s="8"/>
      <c r="F240" s="8"/>
      <c r="G240" s="8"/>
    </row>
    <row r="241">
      <c r="B241" s="8"/>
      <c r="C241" s="8"/>
      <c r="D241" s="8"/>
      <c r="E241" s="8"/>
      <c r="F241" s="8"/>
      <c r="G241" s="8"/>
    </row>
    <row r="242">
      <c r="B242" s="8"/>
      <c r="C242" s="8"/>
      <c r="D242" s="8"/>
      <c r="E242" s="8"/>
      <c r="F242" s="8"/>
      <c r="G242" s="8"/>
    </row>
    <row r="243">
      <c r="B243" s="8"/>
      <c r="C243" s="8"/>
      <c r="D243" s="8"/>
      <c r="E243" s="8"/>
      <c r="F243" s="8"/>
      <c r="G243" s="8"/>
    </row>
    <row r="244">
      <c r="B244" s="8"/>
      <c r="C244" s="8"/>
      <c r="D244" s="8"/>
      <c r="E244" s="8"/>
      <c r="F244" s="8"/>
      <c r="G244" s="8"/>
    </row>
    <row r="245">
      <c r="B245" s="8"/>
      <c r="C245" s="8"/>
      <c r="D245" s="8"/>
      <c r="E245" s="8"/>
      <c r="F245" s="8"/>
      <c r="G245" s="8"/>
    </row>
    <row r="246">
      <c r="B246" s="8"/>
      <c r="C246" s="8"/>
      <c r="D246" s="8"/>
      <c r="E246" s="8"/>
      <c r="F246" s="8"/>
      <c r="G246" s="8"/>
    </row>
    <row r="247">
      <c r="B247" s="8"/>
      <c r="C247" s="8"/>
      <c r="D247" s="8"/>
      <c r="E247" s="8"/>
      <c r="F247" s="8"/>
      <c r="G247" s="8"/>
    </row>
    <row r="248">
      <c r="B248" s="8"/>
      <c r="C248" s="8"/>
      <c r="D248" s="8"/>
      <c r="E248" s="8"/>
      <c r="F248" s="8"/>
      <c r="G248" s="8"/>
    </row>
    <row r="249">
      <c r="B249" s="8"/>
      <c r="C249" s="8"/>
      <c r="D249" s="8"/>
      <c r="E249" s="8"/>
      <c r="F249" s="8"/>
      <c r="G249" s="8"/>
    </row>
    <row r="250">
      <c r="B250" s="8"/>
      <c r="C250" s="8"/>
      <c r="D250" s="8"/>
      <c r="E250" s="8"/>
      <c r="F250" s="8"/>
      <c r="G250" s="8"/>
    </row>
    <row r="251">
      <c r="B251" s="8"/>
      <c r="C251" s="8"/>
      <c r="D251" s="8"/>
      <c r="E251" s="8"/>
      <c r="F251" s="8"/>
      <c r="G251" s="8"/>
    </row>
    <row r="252">
      <c r="B252" s="8"/>
      <c r="C252" s="8"/>
      <c r="D252" s="8"/>
      <c r="E252" s="8"/>
      <c r="F252" s="8"/>
      <c r="G252" s="8"/>
    </row>
    <row r="253">
      <c r="B253" s="8"/>
      <c r="C253" s="8"/>
      <c r="D253" s="8"/>
      <c r="E253" s="8"/>
      <c r="F253" s="8"/>
      <c r="G253" s="8"/>
    </row>
    <row r="254">
      <c r="B254" s="8"/>
      <c r="C254" s="8"/>
      <c r="D254" s="8"/>
      <c r="E254" s="8"/>
      <c r="F254" s="8"/>
      <c r="G254" s="8"/>
    </row>
    <row r="255">
      <c r="B255" s="8"/>
      <c r="C255" s="8"/>
      <c r="D255" s="8"/>
      <c r="E255" s="8"/>
      <c r="F255" s="8"/>
      <c r="G255" s="8"/>
    </row>
    <row r="256">
      <c r="B256" s="8"/>
      <c r="C256" s="8"/>
      <c r="D256" s="8"/>
      <c r="E256" s="8"/>
      <c r="F256" s="8"/>
      <c r="G256" s="8"/>
    </row>
    <row r="257">
      <c r="B257" s="8"/>
      <c r="C257" s="8"/>
      <c r="D257" s="8"/>
      <c r="E257" s="8"/>
      <c r="F257" s="8"/>
      <c r="G257" s="8"/>
    </row>
    <row r="258">
      <c r="B258" s="8"/>
      <c r="C258" s="8"/>
      <c r="D258" s="8"/>
      <c r="E258" s="8"/>
      <c r="F258" s="8"/>
      <c r="G258" s="8"/>
    </row>
    <row r="259">
      <c r="B259" s="8"/>
      <c r="C259" s="8"/>
      <c r="D259" s="8"/>
      <c r="E259" s="8"/>
      <c r="F259" s="8"/>
      <c r="G259" s="8"/>
    </row>
    <row r="260">
      <c r="B260" s="8"/>
      <c r="C260" s="8"/>
      <c r="D260" s="8"/>
      <c r="E260" s="8"/>
      <c r="F260" s="8"/>
      <c r="G260" s="8"/>
    </row>
    <row r="261">
      <c r="B261" s="8"/>
      <c r="C261" s="8"/>
      <c r="D261" s="8"/>
      <c r="E261" s="8"/>
      <c r="F261" s="8"/>
      <c r="G261" s="8"/>
    </row>
    <row r="262">
      <c r="B262" s="8"/>
      <c r="C262" s="8"/>
      <c r="D262" s="8"/>
      <c r="E262" s="8"/>
      <c r="F262" s="8"/>
      <c r="G262" s="8"/>
    </row>
    <row r="263">
      <c r="B263" s="8"/>
      <c r="C263" s="8"/>
      <c r="D263" s="8"/>
      <c r="E263" s="8"/>
      <c r="F263" s="8"/>
      <c r="G263" s="8"/>
    </row>
    <row r="264">
      <c r="B264" s="8"/>
      <c r="C264" s="8"/>
      <c r="D264" s="8"/>
      <c r="E264" s="8"/>
      <c r="F264" s="8"/>
      <c r="G264" s="8"/>
    </row>
    <row r="265">
      <c r="B265" s="8"/>
      <c r="C265" s="8"/>
      <c r="D265" s="8"/>
      <c r="E265" s="8"/>
      <c r="F265" s="8"/>
      <c r="G265" s="8"/>
    </row>
    <row r="266">
      <c r="B266" s="8"/>
      <c r="C266" s="8"/>
      <c r="D266" s="8"/>
      <c r="E266" s="8"/>
      <c r="F266" s="8"/>
      <c r="G266" s="8"/>
    </row>
    <row r="267">
      <c r="B267" s="8"/>
      <c r="C267" s="8"/>
      <c r="D267" s="8"/>
      <c r="E267" s="8"/>
      <c r="F267" s="8"/>
      <c r="G267" s="8"/>
    </row>
    <row r="268">
      <c r="B268" s="8"/>
      <c r="C268" s="8"/>
      <c r="D268" s="8"/>
      <c r="E268" s="8"/>
      <c r="F268" s="8"/>
      <c r="G268" s="8"/>
    </row>
    <row r="269">
      <c r="B269" s="8"/>
      <c r="C269" s="8"/>
      <c r="D269" s="8"/>
      <c r="E269" s="8"/>
      <c r="F269" s="8"/>
      <c r="G269" s="8"/>
    </row>
    <row r="270">
      <c r="B270" s="8"/>
      <c r="C270" s="8"/>
      <c r="D270" s="8"/>
      <c r="E270" s="8"/>
      <c r="F270" s="8"/>
      <c r="G270" s="8"/>
    </row>
    <row r="271">
      <c r="B271" s="8"/>
      <c r="C271" s="8"/>
      <c r="D271" s="8"/>
      <c r="E271" s="8"/>
      <c r="F271" s="8"/>
      <c r="G271" s="8"/>
    </row>
    <row r="272">
      <c r="B272" s="8"/>
      <c r="C272" s="8"/>
      <c r="D272" s="8"/>
      <c r="E272" s="8"/>
      <c r="F272" s="8"/>
      <c r="G272" s="8"/>
    </row>
    <row r="273">
      <c r="B273" s="8"/>
      <c r="C273" s="8"/>
      <c r="D273" s="8"/>
      <c r="E273" s="8"/>
      <c r="F273" s="8"/>
      <c r="G273" s="8"/>
    </row>
    <row r="274">
      <c r="B274" s="8"/>
      <c r="C274" s="8"/>
      <c r="D274" s="8"/>
      <c r="E274" s="8"/>
      <c r="F274" s="8"/>
      <c r="G274" s="8"/>
    </row>
    <row r="275">
      <c r="B275" s="8"/>
      <c r="C275" s="8"/>
      <c r="D275" s="8"/>
      <c r="E275" s="8"/>
      <c r="F275" s="8"/>
      <c r="G275" s="8"/>
    </row>
    <row r="276">
      <c r="B276" s="8"/>
      <c r="C276" s="8"/>
      <c r="D276" s="8"/>
      <c r="E276" s="8"/>
      <c r="F276" s="8"/>
      <c r="G276" s="8"/>
    </row>
    <row r="277">
      <c r="B277" s="8"/>
      <c r="C277" s="8"/>
      <c r="D277" s="8"/>
      <c r="E277" s="8"/>
      <c r="F277" s="8"/>
      <c r="G277" s="8"/>
    </row>
    <row r="278">
      <c r="B278" s="8"/>
      <c r="C278" s="8"/>
      <c r="D278" s="8"/>
      <c r="E278" s="8"/>
      <c r="F278" s="8"/>
      <c r="G278" s="8"/>
    </row>
    <row r="279">
      <c r="B279" s="8"/>
      <c r="C279" s="8"/>
      <c r="D279" s="8"/>
      <c r="E279" s="8"/>
      <c r="F279" s="8"/>
      <c r="G279" s="8"/>
    </row>
    <row r="280">
      <c r="B280" s="8"/>
      <c r="C280" s="8"/>
      <c r="D280" s="8"/>
      <c r="E280" s="8"/>
      <c r="F280" s="8"/>
      <c r="G280" s="8"/>
    </row>
    <row r="281">
      <c r="B281" s="8"/>
      <c r="C281" s="8"/>
      <c r="D281" s="8"/>
      <c r="E281" s="8"/>
      <c r="F281" s="8"/>
      <c r="G281" s="8"/>
    </row>
    <row r="282">
      <c r="B282" s="8"/>
      <c r="C282" s="8"/>
      <c r="D282" s="8"/>
      <c r="E282" s="8"/>
      <c r="F282" s="8"/>
      <c r="G282" s="8"/>
    </row>
    <row r="283">
      <c r="B283" s="8"/>
      <c r="C283" s="8"/>
      <c r="D283" s="8"/>
      <c r="E283" s="8"/>
      <c r="F283" s="8"/>
      <c r="G283" s="8"/>
    </row>
    <row r="284">
      <c r="B284" s="8"/>
      <c r="C284" s="8"/>
      <c r="D284" s="8"/>
      <c r="E284" s="8"/>
      <c r="F284" s="8"/>
      <c r="G284" s="8"/>
    </row>
    <row r="285">
      <c r="B285" s="8"/>
      <c r="C285" s="8"/>
      <c r="D285" s="8"/>
      <c r="E285" s="8"/>
      <c r="F285" s="8"/>
      <c r="G285" s="8"/>
    </row>
    <row r="286">
      <c r="B286" s="8"/>
      <c r="C286" s="8"/>
      <c r="D286" s="8"/>
      <c r="E286" s="8"/>
      <c r="F286" s="8"/>
      <c r="G286" s="8"/>
    </row>
    <row r="287">
      <c r="B287" s="8"/>
      <c r="C287" s="8"/>
      <c r="D287" s="8"/>
      <c r="E287" s="8"/>
      <c r="F287" s="8"/>
      <c r="G287" s="8"/>
    </row>
    <row r="288">
      <c r="B288" s="8"/>
      <c r="C288" s="8"/>
      <c r="D288" s="8"/>
      <c r="E288" s="8"/>
      <c r="F288" s="8"/>
      <c r="G288" s="8"/>
    </row>
    <row r="289">
      <c r="B289" s="8"/>
      <c r="C289" s="8"/>
      <c r="D289" s="8"/>
      <c r="E289" s="8"/>
      <c r="F289" s="8"/>
      <c r="G289" s="8"/>
    </row>
    <row r="290">
      <c r="B290" s="8"/>
      <c r="C290" s="8"/>
      <c r="D290" s="8"/>
      <c r="E290" s="8"/>
      <c r="F290" s="8"/>
      <c r="G290" s="8"/>
    </row>
    <row r="291">
      <c r="B291" s="8"/>
      <c r="C291" s="8"/>
      <c r="D291" s="8"/>
      <c r="E291" s="8"/>
      <c r="F291" s="8"/>
      <c r="G291" s="8"/>
    </row>
    <row r="292">
      <c r="B292" s="8"/>
      <c r="C292" s="8"/>
      <c r="D292" s="8"/>
      <c r="E292" s="8"/>
      <c r="F292" s="8"/>
      <c r="G292" s="8"/>
    </row>
    <row r="293">
      <c r="B293" s="8"/>
      <c r="C293" s="8"/>
      <c r="D293" s="8"/>
      <c r="E293" s="8"/>
      <c r="F293" s="8"/>
      <c r="G293" s="8"/>
    </row>
    <row r="294">
      <c r="B294" s="8"/>
      <c r="C294" s="8"/>
      <c r="D294" s="8"/>
      <c r="E294" s="8"/>
      <c r="F294" s="8"/>
      <c r="G294" s="8"/>
    </row>
    <row r="295">
      <c r="B295" s="8"/>
      <c r="C295" s="8"/>
      <c r="D295" s="8"/>
      <c r="E295" s="8"/>
      <c r="F295" s="8"/>
      <c r="G295" s="8"/>
    </row>
    <row r="296">
      <c r="B296" s="8"/>
      <c r="C296" s="8"/>
      <c r="D296" s="8"/>
      <c r="E296" s="8"/>
      <c r="F296" s="8"/>
      <c r="G296" s="8"/>
    </row>
    <row r="297">
      <c r="B297" s="8"/>
      <c r="C297" s="8"/>
      <c r="D297" s="8"/>
      <c r="E297" s="8"/>
      <c r="F297" s="8"/>
      <c r="G297" s="8"/>
    </row>
    <row r="298">
      <c r="B298" s="8"/>
      <c r="C298" s="8"/>
      <c r="D298" s="8"/>
      <c r="E298" s="8"/>
      <c r="F298" s="8"/>
      <c r="G298" s="8"/>
    </row>
    <row r="299">
      <c r="B299" s="8"/>
      <c r="C299" s="8"/>
      <c r="D299" s="8"/>
      <c r="E299" s="8"/>
      <c r="F299" s="8"/>
      <c r="G299" s="8"/>
    </row>
    <row r="300">
      <c r="B300" s="8"/>
      <c r="C300" s="8"/>
      <c r="D300" s="8"/>
      <c r="E300" s="8"/>
      <c r="F300" s="8"/>
      <c r="G300" s="8"/>
    </row>
    <row r="301">
      <c r="B301" s="8"/>
      <c r="C301" s="8"/>
      <c r="D301" s="8"/>
      <c r="E301" s="8"/>
      <c r="F301" s="8"/>
      <c r="G301" s="8"/>
    </row>
    <row r="302">
      <c r="B302" s="8"/>
      <c r="C302" s="8"/>
      <c r="D302" s="8"/>
      <c r="E302" s="8"/>
      <c r="F302" s="8"/>
      <c r="G302" s="8"/>
    </row>
    <row r="303">
      <c r="B303" s="8"/>
      <c r="C303" s="8"/>
      <c r="D303" s="8"/>
      <c r="E303" s="8"/>
      <c r="F303" s="8"/>
      <c r="G303" s="8"/>
    </row>
    <row r="304">
      <c r="B304" s="8"/>
      <c r="C304" s="8"/>
      <c r="D304" s="8"/>
      <c r="E304" s="8"/>
      <c r="F304" s="8"/>
      <c r="G304" s="8"/>
    </row>
    <row r="305">
      <c r="B305" s="8"/>
      <c r="C305" s="8"/>
      <c r="D305" s="8"/>
      <c r="E305" s="8"/>
      <c r="F305" s="8"/>
      <c r="G305" s="8"/>
    </row>
    <row r="306">
      <c r="B306" s="8"/>
      <c r="C306" s="8"/>
      <c r="D306" s="8"/>
      <c r="E306" s="8"/>
      <c r="F306" s="8"/>
      <c r="G306" s="8"/>
    </row>
    <row r="307">
      <c r="B307" s="8"/>
      <c r="C307" s="8"/>
      <c r="D307" s="8"/>
      <c r="E307" s="8"/>
      <c r="F307" s="8"/>
      <c r="G307" s="8"/>
    </row>
    <row r="308">
      <c r="B308" s="8"/>
      <c r="C308" s="8"/>
      <c r="D308" s="8"/>
      <c r="E308" s="8"/>
      <c r="F308" s="8"/>
      <c r="G308" s="8"/>
    </row>
    <row r="309">
      <c r="B309" s="8"/>
      <c r="C309" s="8"/>
      <c r="D309" s="8"/>
      <c r="E309" s="8"/>
      <c r="F309" s="8"/>
      <c r="G309" s="8"/>
    </row>
    <row r="310">
      <c r="B310" s="8"/>
      <c r="C310" s="8"/>
      <c r="D310" s="8"/>
      <c r="E310" s="8"/>
      <c r="F310" s="8"/>
      <c r="G310" s="8"/>
    </row>
    <row r="311">
      <c r="B311" s="8"/>
      <c r="C311" s="8"/>
      <c r="D311" s="8"/>
      <c r="E311" s="8"/>
      <c r="F311" s="8"/>
      <c r="G311" s="8"/>
    </row>
    <row r="312">
      <c r="B312" s="8"/>
      <c r="C312" s="8"/>
      <c r="D312" s="8"/>
      <c r="E312" s="8"/>
      <c r="F312" s="8"/>
      <c r="G312" s="8"/>
    </row>
    <row r="313">
      <c r="B313" s="8"/>
      <c r="C313" s="8"/>
      <c r="D313" s="8"/>
      <c r="E313" s="8"/>
      <c r="F313" s="8"/>
      <c r="G313" s="8"/>
    </row>
    <row r="314">
      <c r="B314" s="8"/>
      <c r="C314" s="8"/>
      <c r="D314" s="8"/>
      <c r="E314" s="8"/>
      <c r="F314" s="8"/>
      <c r="G314" s="8"/>
    </row>
    <row r="315">
      <c r="B315" s="8"/>
      <c r="C315" s="8"/>
      <c r="D315" s="8"/>
      <c r="E315" s="8"/>
      <c r="F315" s="8"/>
      <c r="G315" s="8"/>
    </row>
    <row r="316">
      <c r="B316" s="8"/>
      <c r="C316" s="8"/>
      <c r="D316" s="8"/>
      <c r="E316" s="8"/>
      <c r="F316" s="8"/>
      <c r="G316" s="8"/>
    </row>
    <row r="317">
      <c r="B317" s="8"/>
      <c r="C317" s="8"/>
      <c r="D317" s="8"/>
      <c r="E317" s="8"/>
      <c r="F317" s="8"/>
      <c r="G317" s="8"/>
    </row>
    <row r="318">
      <c r="B318" s="8"/>
      <c r="C318" s="8"/>
      <c r="D318" s="8"/>
      <c r="E318" s="8"/>
      <c r="F318" s="8"/>
      <c r="G318" s="8"/>
    </row>
    <row r="319">
      <c r="B319" s="8"/>
      <c r="C319" s="8"/>
      <c r="D319" s="8"/>
      <c r="E319" s="8"/>
      <c r="F319" s="8"/>
      <c r="G319" s="8"/>
    </row>
    <row r="320">
      <c r="B320" s="8"/>
      <c r="C320" s="8"/>
      <c r="D320" s="8"/>
      <c r="E320" s="8"/>
      <c r="F320" s="8"/>
      <c r="G320" s="8"/>
    </row>
    <row r="321">
      <c r="B321" s="8"/>
      <c r="C321" s="8"/>
      <c r="D321" s="8"/>
      <c r="E321" s="8"/>
      <c r="F321" s="8"/>
      <c r="G321" s="8"/>
    </row>
    <row r="322">
      <c r="B322" s="8"/>
      <c r="C322" s="8"/>
      <c r="D322" s="8"/>
      <c r="E322" s="8"/>
      <c r="F322" s="8"/>
      <c r="G322" s="8"/>
    </row>
    <row r="323">
      <c r="B323" s="8"/>
      <c r="C323" s="8"/>
      <c r="D323" s="8"/>
      <c r="E323" s="8"/>
      <c r="F323" s="8"/>
      <c r="G323" s="8"/>
    </row>
    <row r="324">
      <c r="B324" s="8"/>
      <c r="C324" s="8"/>
      <c r="D324" s="8"/>
      <c r="E324" s="8"/>
      <c r="F324" s="8"/>
      <c r="G324" s="8"/>
    </row>
    <row r="325">
      <c r="B325" s="8"/>
      <c r="C325" s="8"/>
      <c r="D325" s="8"/>
      <c r="E325" s="8"/>
      <c r="F325" s="8"/>
      <c r="G325" s="8"/>
    </row>
    <row r="326">
      <c r="B326" s="8"/>
      <c r="C326" s="8"/>
      <c r="D326" s="8"/>
      <c r="E326" s="8"/>
      <c r="F326" s="8"/>
      <c r="G326" s="8"/>
    </row>
    <row r="327">
      <c r="B327" s="8"/>
      <c r="C327" s="8"/>
      <c r="D327" s="8"/>
      <c r="E327" s="8"/>
      <c r="F327" s="8"/>
      <c r="G327" s="8"/>
    </row>
    <row r="328">
      <c r="B328" s="8"/>
      <c r="C328" s="8"/>
      <c r="D328" s="8"/>
      <c r="E328" s="8"/>
      <c r="F328" s="8"/>
      <c r="G328" s="8"/>
    </row>
    <row r="329">
      <c r="B329" s="8"/>
      <c r="C329" s="8"/>
      <c r="D329" s="8"/>
      <c r="E329" s="8"/>
      <c r="F329" s="8"/>
      <c r="G329" s="8"/>
    </row>
    <row r="330">
      <c r="B330" s="8"/>
      <c r="C330" s="8"/>
      <c r="D330" s="8"/>
      <c r="E330" s="8"/>
      <c r="F330" s="8"/>
      <c r="G330" s="8"/>
    </row>
    <row r="331">
      <c r="B331" s="8"/>
      <c r="C331" s="8"/>
      <c r="D331" s="8"/>
      <c r="E331" s="8"/>
      <c r="F331" s="8"/>
      <c r="G331" s="8"/>
    </row>
    <row r="332">
      <c r="B332" s="8"/>
      <c r="C332" s="8"/>
      <c r="D332" s="8"/>
      <c r="E332" s="8"/>
      <c r="F332" s="8"/>
      <c r="G332" s="8"/>
    </row>
    <row r="333">
      <c r="B333" s="8"/>
      <c r="C333" s="8"/>
      <c r="D333" s="8"/>
      <c r="E333" s="8"/>
      <c r="F333" s="8"/>
      <c r="G333" s="8"/>
    </row>
    <row r="334">
      <c r="B334" s="8"/>
      <c r="C334" s="8"/>
      <c r="D334" s="8"/>
      <c r="E334" s="8"/>
      <c r="F334" s="8"/>
      <c r="G334" s="8"/>
    </row>
    <row r="335">
      <c r="B335" s="8"/>
      <c r="C335" s="8"/>
      <c r="D335" s="8"/>
      <c r="E335" s="8"/>
      <c r="F335" s="8"/>
      <c r="G335" s="8"/>
    </row>
    <row r="336">
      <c r="B336" s="8"/>
      <c r="C336" s="8"/>
      <c r="D336" s="8"/>
      <c r="E336" s="8"/>
      <c r="F336" s="8"/>
      <c r="G336" s="8"/>
    </row>
    <row r="337">
      <c r="B337" s="8"/>
      <c r="C337" s="8"/>
      <c r="D337" s="8"/>
      <c r="E337" s="8"/>
      <c r="F337" s="8"/>
      <c r="G337" s="8"/>
    </row>
    <row r="338">
      <c r="B338" s="8"/>
      <c r="C338" s="8"/>
      <c r="D338" s="8"/>
      <c r="E338" s="8"/>
      <c r="F338" s="8"/>
      <c r="G338" s="8"/>
    </row>
    <row r="339">
      <c r="B339" s="8"/>
      <c r="C339" s="8"/>
      <c r="D339" s="8"/>
      <c r="E339" s="8"/>
      <c r="F339" s="8"/>
      <c r="G339" s="8"/>
    </row>
    <row r="340">
      <c r="B340" s="8"/>
      <c r="C340" s="8"/>
      <c r="D340" s="8"/>
      <c r="E340" s="8"/>
      <c r="F340" s="8"/>
      <c r="G340" s="8"/>
    </row>
    <row r="341">
      <c r="B341" s="8"/>
      <c r="C341" s="8"/>
      <c r="D341" s="8"/>
      <c r="E341" s="8"/>
      <c r="F341" s="8"/>
      <c r="G341" s="8"/>
    </row>
    <row r="342">
      <c r="B342" s="8"/>
      <c r="C342" s="8"/>
      <c r="D342" s="8"/>
      <c r="E342" s="8"/>
      <c r="F342" s="8"/>
      <c r="G342" s="8"/>
    </row>
    <row r="343">
      <c r="B343" s="8"/>
      <c r="C343" s="8"/>
      <c r="D343" s="8"/>
      <c r="E343" s="8"/>
      <c r="F343" s="8"/>
      <c r="G343" s="8"/>
    </row>
    <row r="344">
      <c r="B344" s="8"/>
      <c r="C344" s="8"/>
      <c r="D344" s="8"/>
      <c r="E344" s="8"/>
      <c r="F344" s="8"/>
      <c r="G344" s="8"/>
    </row>
    <row r="345">
      <c r="B345" s="8"/>
      <c r="C345" s="8"/>
      <c r="D345" s="8"/>
      <c r="E345" s="8"/>
      <c r="F345" s="8"/>
      <c r="G345" s="8"/>
    </row>
    <row r="346">
      <c r="B346" s="8"/>
      <c r="C346" s="8"/>
      <c r="D346" s="8"/>
      <c r="E346" s="8"/>
      <c r="F346" s="8"/>
      <c r="G346" s="8"/>
    </row>
    <row r="347">
      <c r="B347" s="8"/>
      <c r="C347" s="8"/>
      <c r="D347" s="8"/>
      <c r="E347" s="8"/>
      <c r="F347" s="8"/>
      <c r="G347" s="8"/>
    </row>
    <row r="348">
      <c r="B348" s="8"/>
      <c r="C348" s="8"/>
      <c r="D348" s="8"/>
      <c r="E348" s="8"/>
      <c r="F348" s="8"/>
      <c r="G348" s="8"/>
    </row>
    <row r="349">
      <c r="B349" s="8"/>
      <c r="C349" s="8"/>
      <c r="D349" s="8"/>
      <c r="E349" s="8"/>
      <c r="F349" s="8"/>
      <c r="G349" s="8"/>
    </row>
    <row r="350">
      <c r="B350" s="8"/>
      <c r="C350" s="8"/>
      <c r="D350" s="8"/>
      <c r="E350" s="8"/>
      <c r="F350" s="8"/>
      <c r="G350" s="8"/>
    </row>
    <row r="351">
      <c r="B351" s="8"/>
      <c r="C351" s="8"/>
      <c r="D351" s="8"/>
      <c r="E351" s="8"/>
      <c r="F351" s="8"/>
      <c r="G351" s="8"/>
    </row>
    <row r="352">
      <c r="B352" s="8"/>
      <c r="C352" s="8"/>
      <c r="D352" s="8"/>
      <c r="E352" s="8"/>
      <c r="F352" s="8"/>
      <c r="G352" s="8"/>
    </row>
    <row r="353">
      <c r="B353" s="8"/>
      <c r="C353" s="8"/>
      <c r="D353" s="8"/>
      <c r="E353" s="8"/>
      <c r="F353" s="8"/>
      <c r="G353" s="8"/>
    </row>
    <row r="354">
      <c r="B354" s="8"/>
      <c r="C354" s="8"/>
      <c r="D354" s="8"/>
      <c r="E354" s="8"/>
      <c r="F354" s="8"/>
      <c r="G354" s="8"/>
    </row>
    <row r="355">
      <c r="B355" s="8"/>
      <c r="C355" s="8"/>
      <c r="D355" s="8"/>
      <c r="E355" s="8"/>
      <c r="F355" s="8"/>
      <c r="G355" s="8"/>
    </row>
    <row r="356">
      <c r="B356" s="8"/>
      <c r="C356" s="8"/>
      <c r="D356" s="8"/>
      <c r="E356" s="8"/>
      <c r="F356" s="8"/>
      <c r="G356" s="8"/>
    </row>
    <row r="357">
      <c r="B357" s="8"/>
      <c r="C357" s="8"/>
      <c r="D357" s="8"/>
      <c r="E357" s="8"/>
      <c r="F357" s="8"/>
      <c r="G357" s="8"/>
    </row>
    <row r="358">
      <c r="B358" s="8"/>
      <c r="C358" s="8"/>
      <c r="D358" s="8"/>
      <c r="E358" s="8"/>
      <c r="F358" s="8"/>
      <c r="G358" s="8"/>
    </row>
    <row r="359">
      <c r="B359" s="8"/>
      <c r="C359" s="8"/>
      <c r="D359" s="8"/>
      <c r="E359" s="8"/>
      <c r="F359" s="8"/>
      <c r="G359" s="8"/>
    </row>
    <row r="360">
      <c r="B360" s="8"/>
      <c r="C360" s="8"/>
      <c r="D360" s="8"/>
      <c r="E360" s="8"/>
      <c r="F360" s="8"/>
      <c r="G360" s="8"/>
    </row>
    <row r="361">
      <c r="B361" s="8"/>
      <c r="C361" s="8"/>
      <c r="D361" s="8"/>
      <c r="E361" s="8"/>
      <c r="F361" s="8"/>
      <c r="G361" s="8"/>
    </row>
    <row r="362">
      <c r="B362" s="8"/>
      <c r="C362" s="8"/>
      <c r="D362" s="8"/>
      <c r="E362" s="8"/>
      <c r="F362" s="8"/>
      <c r="G362" s="8"/>
    </row>
    <row r="363">
      <c r="B363" s="8"/>
      <c r="C363" s="8"/>
      <c r="D363" s="8"/>
      <c r="E363" s="8"/>
      <c r="F363" s="8"/>
      <c r="G363" s="8"/>
    </row>
    <row r="364">
      <c r="B364" s="8"/>
      <c r="C364" s="8"/>
      <c r="D364" s="8"/>
      <c r="E364" s="8"/>
      <c r="F364" s="8"/>
      <c r="G364" s="8"/>
    </row>
    <row r="365">
      <c r="B365" s="8"/>
      <c r="C365" s="8"/>
      <c r="D365" s="8"/>
      <c r="E365" s="8"/>
      <c r="F365" s="8"/>
      <c r="G365" s="8"/>
    </row>
    <row r="366">
      <c r="B366" s="8"/>
      <c r="C366" s="8"/>
      <c r="D366" s="8"/>
      <c r="E366" s="8"/>
      <c r="F366" s="8"/>
      <c r="G366" s="8"/>
    </row>
    <row r="367">
      <c r="B367" s="8"/>
      <c r="C367" s="8"/>
      <c r="D367" s="8"/>
      <c r="E367" s="8"/>
      <c r="F367" s="8"/>
      <c r="G367" s="8"/>
    </row>
    <row r="368">
      <c r="B368" s="8"/>
      <c r="C368" s="8"/>
      <c r="D368" s="8"/>
      <c r="E368" s="8"/>
      <c r="F368" s="8"/>
      <c r="G368" s="8"/>
    </row>
    <row r="369">
      <c r="B369" s="8"/>
      <c r="C369" s="8"/>
      <c r="D369" s="8"/>
      <c r="E369" s="8"/>
      <c r="F369" s="8"/>
      <c r="G369" s="8"/>
    </row>
    <row r="370">
      <c r="B370" s="8"/>
      <c r="C370" s="8"/>
      <c r="D370" s="8"/>
      <c r="E370" s="8"/>
      <c r="F370" s="8"/>
      <c r="G370" s="8"/>
    </row>
    <row r="371">
      <c r="B371" s="8"/>
      <c r="C371" s="8"/>
      <c r="D371" s="8"/>
      <c r="E371" s="8"/>
      <c r="F371" s="8"/>
      <c r="G371" s="8"/>
    </row>
    <row r="372">
      <c r="B372" s="8"/>
      <c r="C372" s="8"/>
      <c r="D372" s="8"/>
      <c r="E372" s="8"/>
      <c r="F372" s="8"/>
      <c r="G372" s="8"/>
    </row>
    <row r="373">
      <c r="B373" s="8"/>
      <c r="C373" s="8"/>
      <c r="D373" s="8"/>
      <c r="E373" s="8"/>
      <c r="F373" s="8"/>
      <c r="G373" s="8"/>
    </row>
    <row r="374">
      <c r="B374" s="8"/>
      <c r="C374" s="8"/>
      <c r="D374" s="8"/>
      <c r="E374" s="8"/>
      <c r="F374" s="8"/>
      <c r="G374" s="8"/>
    </row>
    <row r="375">
      <c r="B375" s="8"/>
      <c r="C375" s="8"/>
      <c r="D375" s="8"/>
      <c r="E375" s="8"/>
      <c r="F375" s="8"/>
      <c r="G375" s="8"/>
    </row>
    <row r="376">
      <c r="B376" s="8"/>
      <c r="C376" s="8"/>
      <c r="D376" s="8"/>
      <c r="E376" s="8"/>
      <c r="F376" s="8"/>
      <c r="G376" s="8"/>
    </row>
    <row r="377">
      <c r="B377" s="8"/>
      <c r="C377" s="8"/>
      <c r="D377" s="8"/>
      <c r="E377" s="8"/>
      <c r="F377" s="8"/>
      <c r="G377" s="8"/>
    </row>
    <row r="378">
      <c r="B378" s="8"/>
      <c r="C378" s="8"/>
      <c r="D378" s="8"/>
      <c r="E378" s="8"/>
      <c r="F378" s="8"/>
      <c r="G378" s="8"/>
    </row>
    <row r="379">
      <c r="B379" s="8"/>
      <c r="C379" s="8"/>
      <c r="D379" s="8"/>
      <c r="E379" s="8"/>
      <c r="F379" s="8"/>
      <c r="G379" s="8"/>
    </row>
    <row r="380">
      <c r="B380" s="8"/>
      <c r="C380" s="8"/>
      <c r="D380" s="8"/>
      <c r="E380" s="8"/>
      <c r="F380" s="8"/>
      <c r="G380" s="8"/>
    </row>
    <row r="381">
      <c r="B381" s="8"/>
      <c r="C381" s="8"/>
      <c r="D381" s="8"/>
      <c r="E381" s="8"/>
      <c r="F381" s="8"/>
      <c r="G381" s="8"/>
    </row>
    <row r="382">
      <c r="B382" s="8"/>
      <c r="C382" s="8"/>
      <c r="D382" s="8"/>
      <c r="E382" s="8"/>
      <c r="F382" s="8"/>
      <c r="G382" s="8"/>
    </row>
    <row r="383">
      <c r="B383" s="8"/>
      <c r="C383" s="8"/>
      <c r="D383" s="8"/>
      <c r="E383" s="8"/>
      <c r="F383" s="8"/>
      <c r="G383" s="8"/>
    </row>
    <row r="384">
      <c r="B384" s="8"/>
      <c r="C384" s="8"/>
      <c r="D384" s="8"/>
      <c r="E384" s="8"/>
      <c r="F384" s="8"/>
      <c r="G384" s="8"/>
    </row>
    <row r="385">
      <c r="B385" s="8"/>
      <c r="C385" s="8"/>
      <c r="D385" s="8"/>
      <c r="E385" s="8"/>
      <c r="F385" s="8"/>
      <c r="G385" s="8"/>
    </row>
    <row r="386">
      <c r="B386" s="8"/>
      <c r="C386" s="8"/>
      <c r="D386" s="8"/>
      <c r="E386" s="8"/>
      <c r="F386" s="8"/>
      <c r="G386" s="8"/>
    </row>
    <row r="387">
      <c r="B387" s="8"/>
      <c r="C387" s="8"/>
      <c r="D387" s="8"/>
      <c r="E387" s="8"/>
      <c r="F387" s="8"/>
      <c r="G387" s="8"/>
    </row>
    <row r="388">
      <c r="B388" s="8"/>
      <c r="C388" s="8"/>
      <c r="D388" s="8"/>
      <c r="E388" s="8"/>
      <c r="F388" s="8"/>
      <c r="G388" s="8"/>
    </row>
    <row r="389">
      <c r="B389" s="8"/>
      <c r="C389" s="8"/>
      <c r="D389" s="8"/>
      <c r="E389" s="8"/>
      <c r="F389" s="8"/>
      <c r="G389" s="8"/>
    </row>
    <row r="390">
      <c r="B390" s="8"/>
      <c r="C390" s="8"/>
      <c r="D390" s="8"/>
      <c r="E390" s="8"/>
      <c r="F390" s="8"/>
      <c r="G390" s="8"/>
    </row>
    <row r="391">
      <c r="B391" s="8"/>
      <c r="C391" s="8"/>
      <c r="D391" s="8"/>
      <c r="E391" s="8"/>
      <c r="F391" s="8"/>
      <c r="G391" s="8"/>
    </row>
    <row r="392">
      <c r="B392" s="8"/>
      <c r="C392" s="8"/>
      <c r="D392" s="8"/>
      <c r="E392" s="8"/>
      <c r="F392" s="8"/>
      <c r="G392" s="8"/>
    </row>
    <row r="393">
      <c r="B393" s="8"/>
      <c r="C393" s="8"/>
      <c r="D393" s="8"/>
      <c r="E393" s="8"/>
      <c r="F393" s="8"/>
      <c r="G393" s="8"/>
    </row>
    <row r="394">
      <c r="B394" s="8"/>
      <c r="C394" s="8"/>
      <c r="D394" s="8"/>
      <c r="E394" s="8"/>
      <c r="F394" s="8"/>
      <c r="G394" s="8"/>
    </row>
    <row r="395">
      <c r="B395" s="8"/>
      <c r="C395" s="8"/>
      <c r="D395" s="8"/>
      <c r="E395" s="8"/>
      <c r="F395" s="8"/>
      <c r="G395" s="8"/>
    </row>
    <row r="396">
      <c r="B396" s="8"/>
      <c r="C396" s="8"/>
      <c r="D396" s="8"/>
      <c r="E396" s="8"/>
      <c r="F396" s="8"/>
      <c r="G396" s="8"/>
    </row>
    <row r="397">
      <c r="B397" s="8"/>
      <c r="C397" s="8"/>
      <c r="D397" s="8"/>
      <c r="E397" s="8"/>
      <c r="F397" s="8"/>
      <c r="G397" s="8"/>
    </row>
    <row r="398">
      <c r="B398" s="8"/>
      <c r="C398" s="8"/>
      <c r="D398" s="8"/>
      <c r="E398" s="8"/>
      <c r="F398" s="8"/>
      <c r="G398" s="8"/>
    </row>
    <row r="399">
      <c r="B399" s="8"/>
      <c r="C399" s="8"/>
      <c r="D399" s="8"/>
      <c r="E399" s="8"/>
      <c r="F399" s="8"/>
      <c r="G399" s="8"/>
    </row>
    <row r="400">
      <c r="B400" s="8"/>
      <c r="C400" s="8"/>
      <c r="D400" s="8"/>
      <c r="E400" s="8"/>
      <c r="F400" s="8"/>
      <c r="G400" s="8"/>
    </row>
    <row r="401">
      <c r="B401" s="8"/>
      <c r="C401" s="8"/>
      <c r="D401" s="8"/>
      <c r="E401" s="8"/>
      <c r="F401" s="8"/>
      <c r="G401" s="8"/>
    </row>
    <row r="402">
      <c r="B402" s="8"/>
      <c r="C402" s="8"/>
      <c r="D402" s="8"/>
      <c r="E402" s="8"/>
      <c r="F402" s="8"/>
      <c r="G402" s="8"/>
    </row>
    <row r="403">
      <c r="B403" s="8"/>
      <c r="C403" s="8"/>
      <c r="D403" s="8"/>
      <c r="E403" s="8"/>
      <c r="F403" s="8"/>
      <c r="G403" s="8"/>
    </row>
    <row r="404">
      <c r="B404" s="8"/>
      <c r="C404" s="8"/>
      <c r="D404" s="8"/>
      <c r="E404" s="8"/>
      <c r="F404" s="8"/>
      <c r="G404" s="8"/>
    </row>
    <row r="405">
      <c r="B405" s="8"/>
      <c r="C405" s="8"/>
      <c r="D405" s="8"/>
      <c r="E405" s="8"/>
      <c r="F405" s="8"/>
      <c r="G405" s="8"/>
    </row>
    <row r="406">
      <c r="B406" s="8"/>
      <c r="C406" s="8"/>
      <c r="D406" s="8"/>
      <c r="E406" s="8"/>
      <c r="F406" s="8"/>
      <c r="G406" s="8"/>
    </row>
    <row r="407">
      <c r="B407" s="8"/>
      <c r="C407" s="8"/>
      <c r="D407" s="8"/>
      <c r="E407" s="8"/>
      <c r="F407" s="8"/>
      <c r="G407" s="8"/>
    </row>
    <row r="408">
      <c r="B408" s="8"/>
      <c r="C408" s="8"/>
      <c r="D408" s="8"/>
      <c r="E408" s="8"/>
      <c r="F408" s="8"/>
      <c r="G408" s="8"/>
    </row>
    <row r="409">
      <c r="B409" s="8"/>
      <c r="C409" s="8"/>
      <c r="D409" s="8"/>
      <c r="E409" s="8"/>
      <c r="F409" s="8"/>
      <c r="G409" s="8"/>
    </row>
    <row r="410">
      <c r="B410" s="8"/>
      <c r="C410" s="8"/>
      <c r="D410" s="8"/>
      <c r="E410" s="8"/>
      <c r="F410" s="8"/>
      <c r="G410" s="8"/>
    </row>
    <row r="411">
      <c r="B411" s="8"/>
      <c r="C411" s="8"/>
      <c r="D411" s="8"/>
      <c r="E411" s="8"/>
      <c r="F411" s="8"/>
      <c r="G411" s="8"/>
    </row>
    <row r="412">
      <c r="B412" s="8"/>
      <c r="C412" s="8"/>
      <c r="D412" s="8"/>
      <c r="E412" s="8"/>
      <c r="F412" s="8"/>
      <c r="G412" s="8"/>
    </row>
    <row r="413">
      <c r="B413" s="8"/>
      <c r="C413" s="8"/>
      <c r="D413" s="8"/>
      <c r="E413" s="8"/>
      <c r="F413" s="8"/>
      <c r="G413" s="8"/>
    </row>
    <row r="414">
      <c r="B414" s="8"/>
      <c r="C414" s="8"/>
      <c r="D414" s="8"/>
      <c r="E414" s="8"/>
      <c r="F414" s="8"/>
      <c r="G414" s="8"/>
    </row>
    <row r="415">
      <c r="B415" s="8"/>
      <c r="C415" s="8"/>
      <c r="D415" s="8"/>
      <c r="E415" s="8"/>
      <c r="F415" s="8"/>
      <c r="G415" s="8"/>
    </row>
    <row r="416">
      <c r="B416" s="8"/>
      <c r="C416" s="8"/>
      <c r="D416" s="8"/>
      <c r="E416" s="8"/>
      <c r="F416" s="8"/>
      <c r="G416" s="8"/>
    </row>
    <row r="417">
      <c r="B417" s="8"/>
      <c r="C417" s="8"/>
      <c r="D417" s="8"/>
      <c r="E417" s="8"/>
      <c r="F417" s="8"/>
      <c r="G417" s="8"/>
    </row>
    <row r="418">
      <c r="B418" s="8"/>
      <c r="C418" s="8"/>
      <c r="D418" s="8"/>
      <c r="E418" s="8"/>
      <c r="F418" s="8"/>
      <c r="G418" s="8"/>
    </row>
    <row r="419">
      <c r="B419" s="8"/>
      <c r="C419" s="8"/>
      <c r="D419" s="8"/>
      <c r="E419" s="8"/>
      <c r="F419" s="8"/>
      <c r="G419" s="8"/>
    </row>
    <row r="420">
      <c r="B420" s="8"/>
      <c r="C420" s="8"/>
      <c r="D420" s="8"/>
      <c r="E420" s="8"/>
      <c r="F420" s="8"/>
      <c r="G420" s="8"/>
    </row>
    <row r="421">
      <c r="B421" s="8"/>
      <c r="C421" s="8"/>
      <c r="D421" s="8"/>
      <c r="E421" s="8"/>
      <c r="F421" s="8"/>
      <c r="G421" s="8"/>
    </row>
    <row r="422">
      <c r="B422" s="8"/>
      <c r="C422" s="8"/>
      <c r="D422" s="8"/>
      <c r="E422" s="8"/>
      <c r="F422" s="8"/>
      <c r="G422" s="8"/>
    </row>
    <row r="423">
      <c r="B423" s="8"/>
      <c r="C423" s="8"/>
      <c r="D423" s="8"/>
      <c r="E423" s="8"/>
      <c r="F423" s="8"/>
      <c r="G423" s="8"/>
    </row>
    <row r="424">
      <c r="B424" s="8"/>
      <c r="C424" s="8"/>
      <c r="D424" s="8"/>
      <c r="E424" s="8"/>
      <c r="F424" s="8"/>
      <c r="G424" s="8"/>
    </row>
    <row r="425">
      <c r="B425" s="8"/>
      <c r="C425" s="8"/>
      <c r="D425" s="8"/>
      <c r="E425" s="8"/>
      <c r="F425" s="8"/>
      <c r="G425" s="8"/>
    </row>
    <row r="426">
      <c r="B426" s="8"/>
      <c r="C426" s="8"/>
      <c r="D426" s="8"/>
      <c r="E426" s="8"/>
      <c r="F426" s="8"/>
      <c r="G426" s="8"/>
    </row>
    <row r="427">
      <c r="B427" s="8"/>
      <c r="C427" s="8"/>
      <c r="D427" s="8"/>
      <c r="E427" s="8"/>
      <c r="F427" s="8"/>
      <c r="G427" s="8"/>
    </row>
    <row r="428">
      <c r="B428" s="8"/>
      <c r="C428" s="8"/>
      <c r="D428" s="8"/>
      <c r="E428" s="8"/>
      <c r="F428" s="8"/>
      <c r="G428" s="8"/>
    </row>
    <row r="429">
      <c r="B429" s="8"/>
      <c r="C429" s="8"/>
      <c r="D429" s="8"/>
      <c r="E429" s="8"/>
      <c r="F429" s="8"/>
      <c r="G429" s="8"/>
    </row>
    <row r="430">
      <c r="B430" s="8"/>
      <c r="C430" s="8"/>
      <c r="D430" s="8"/>
      <c r="E430" s="8"/>
      <c r="F430" s="8"/>
      <c r="G430" s="8"/>
    </row>
    <row r="431">
      <c r="B431" s="8"/>
      <c r="C431" s="8"/>
      <c r="D431" s="8"/>
      <c r="E431" s="8"/>
      <c r="F431" s="8"/>
      <c r="G431" s="8"/>
    </row>
    <row r="432">
      <c r="B432" s="8"/>
      <c r="C432" s="8"/>
      <c r="D432" s="8"/>
      <c r="E432" s="8"/>
      <c r="F432" s="8"/>
      <c r="G432" s="8"/>
    </row>
    <row r="433">
      <c r="B433" s="8"/>
      <c r="C433" s="8"/>
      <c r="D433" s="8"/>
      <c r="E433" s="8"/>
      <c r="F433" s="8"/>
      <c r="G433" s="8"/>
    </row>
    <row r="434">
      <c r="B434" s="8"/>
      <c r="C434" s="8"/>
      <c r="D434" s="8"/>
      <c r="E434" s="8"/>
      <c r="F434" s="8"/>
      <c r="G434" s="8"/>
    </row>
    <row r="435">
      <c r="B435" s="8"/>
      <c r="C435" s="8"/>
      <c r="D435" s="8"/>
      <c r="E435" s="8"/>
      <c r="F435" s="8"/>
      <c r="G435" s="8"/>
    </row>
    <row r="436">
      <c r="B436" s="8"/>
      <c r="C436" s="8"/>
      <c r="D436" s="8"/>
      <c r="E436" s="8"/>
      <c r="F436" s="8"/>
      <c r="G436" s="8"/>
    </row>
    <row r="437">
      <c r="B437" s="8"/>
      <c r="C437" s="8"/>
      <c r="D437" s="8"/>
      <c r="E437" s="8"/>
      <c r="F437" s="8"/>
      <c r="G437" s="8"/>
    </row>
    <row r="438">
      <c r="B438" s="8"/>
      <c r="C438" s="8"/>
      <c r="D438" s="8"/>
      <c r="E438" s="8"/>
      <c r="F438" s="8"/>
      <c r="G438" s="8"/>
    </row>
    <row r="439">
      <c r="B439" s="8"/>
      <c r="C439" s="8"/>
      <c r="D439" s="8"/>
      <c r="E439" s="8"/>
      <c r="F439" s="8"/>
      <c r="G439" s="8"/>
    </row>
    <row r="440">
      <c r="B440" s="8"/>
      <c r="C440" s="8"/>
      <c r="D440" s="8"/>
      <c r="E440" s="8"/>
      <c r="F440" s="8"/>
      <c r="G440" s="8"/>
    </row>
    <row r="441">
      <c r="B441" s="8"/>
      <c r="C441" s="8"/>
      <c r="D441" s="8"/>
      <c r="E441" s="8"/>
      <c r="F441" s="8"/>
      <c r="G441" s="8"/>
    </row>
    <row r="442">
      <c r="B442" s="8"/>
      <c r="C442" s="8"/>
      <c r="D442" s="8"/>
      <c r="E442" s="8"/>
      <c r="F442" s="8"/>
      <c r="G442" s="8"/>
    </row>
    <row r="443">
      <c r="B443" s="8"/>
      <c r="C443" s="8"/>
      <c r="D443" s="8"/>
      <c r="E443" s="8"/>
      <c r="F443" s="8"/>
      <c r="G443" s="8"/>
    </row>
    <row r="444">
      <c r="B444" s="8"/>
      <c r="C444" s="8"/>
      <c r="D444" s="8"/>
      <c r="E444" s="8"/>
      <c r="F444" s="8"/>
      <c r="G444" s="8"/>
    </row>
    <row r="445">
      <c r="B445" s="8"/>
      <c r="C445" s="8"/>
      <c r="D445" s="8"/>
      <c r="E445" s="8"/>
      <c r="F445" s="8"/>
      <c r="G445" s="8"/>
    </row>
    <row r="446">
      <c r="B446" s="8"/>
      <c r="C446" s="8"/>
      <c r="D446" s="8"/>
      <c r="E446" s="8"/>
      <c r="F446" s="8"/>
      <c r="G446" s="8"/>
    </row>
    <row r="447">
      <c r="B447" s="8"/>
      <c r="C447" s="8"/>
      <c r="D447" s="8"/>
      <c r="E447" s="8"/>
      <c r="F447" s="8"/>
      <c r="G447" s="8"/>
    </row>
    <row r="448">
      <c r="B448" s="8"/>
      <c r="C448" s="8"/>
      <c r="D448" s="8"/>
      <c r="E448" s="8"/>
      <c r="F448" s="8"/>
      <c r="G448" s="8"/>
    </row>
    <row r="449">
      <c r="B449" s="8"/>
      <c r="C449" s="8"/>
      <c r="D449" s="8"/>
      <c r="E449" s="8"/>
      <c r="F449" s="8"/>
      <c r="G449" s="8"/>
    </row>
    <row r="450">
      <c r="B450" s="8"/>
      <c r="C450" s="8"/>
      <c r="D450" s="8"/>
      <c r="E450" s="8"/>
      <c r="F450" s="8"/>
      <c r="G450" s="8"/>
    </row>
    <row r="451">
      <c r="B451" s="8"/>
      <c r="C451" s="8"/>
      <c r="D451" s="8"/>
      <c r="E451" s="8"/>
      <c r="F451" s="8"/>
      <c r="G451" s="8"/>
    </row>
    <row r="452">
      <c r="B452" s="8"/>
      <c r="C452" s="8"/>
      <c r="D452" s="8"/>
      <c r="E452" s="8"/>
      <c r="F452" s="8"/>
      <c r="G452" s="8"/>
    </row>
    <row r="453">
      <c r="B453" s="8"/>
      <c r="C453" s="8"/>
      <c r="D453" s="8"/>
      <c r="E453" s="8"/>
      <c r="F453" s="8"/>
      <c r="G453" s="8"/>
    </row>
    <row r="454">
      <c r="B454" s="8"/>
      <c r="C454" s="8"/>
      <c r="D454" s="8"/>
      <c r="E454" s="8"/>
      <c r="F454" s="8"/>
      <c r="G454" s="8"/>
    </row>
    <row r="455">
      <c r="B455" s="8"/>
      <c r="C455" s="8"/>
      <c r="D455" s="8"/>
      <c r="E455" s="8"/>
      <c r="F455" s="8"/>
      <c r="G455" s="8"/>
    </row>
    <row r="456">
      <c r="B456" s="8"/>
      <c r="C456" s="8"/>
      <c r="D456" s="8"/>
      <c r="E456" s="8"/>
      <c r="F456" s="8"/>
      <c r="G456" s="8"/>
    </row>
    <row r="457">
      <c r="B457" s="8"/>
      <c r="C457" s="8"/>
      <c r="D457" s="8"/>
      <c r="E457" s="8"/>
      <c r="F457" s="8"/>
      <c r="G457" s="8"/>
    </row>
    <row r="458">
      <c r="B458" s="8"/>
      <c r="C458" s="8"/>
      <c r="D458" s="8"/>
      <c r="E458" s="8"/>
      <c r="F458" s="8"/>
      <c r="G458" s="8"/>
    </row>
    <row r="459">
      <c r="B459" s="8"/>
      <c r="C459" s="8"/>
      <c r="D459" s="8"/>
      <c r="E459" s="8"/>
      <c r="F459" s="8"/>
      <c r="G459" s="8"/>
    </row>
    <row r="460">
      <c r="B460" s="8"/>
      <c r="C460" s="8"/>
      <c r="D460" s="8"/>
      <c r="E460" s="8"/>
      <c r="F460" s="8"/>
      <c r="G460" s="8"/>
    </row>
    <row r="461">
      <c r="B461" s="8"/>
      <c r="C461" s="8"/>
      <c r="D461" s="8"/>
      <c r="E461" s="8"/>
      <c r="F461" s="8"/>
      <c r="G461" s="8"/>
    </row>
    <row r="462">
      <c r="B462" s="8"/>
      <c r="C462" s="8"/>
      <c r="D462" s="8"/>
      <c r="E462" s="8"/>
      <c r="F462" s="8"/>
      <c r="G462" s="8"/>
    </row>
    <row r="463">
      <c r="B463" s="8"/>
      <c r="C463" s="8"/>
      <c r="D463" s="8"/>
      <c r="E463" s="8"/>
      <c r="F463" s="8"/>
      <c r="G463" s="8"/>
    </row>
    <row r="464">
      <c r="B464" s="8"/>
      <c r="C464" s="8"/>
      <c r="D464" s="8"/>
      <c r="E464" s="8"/>
      <c r="F464" s="8"/>
      <c r="G464" s="8"/>
    </row>
    <row r="465">
      <c r="B465" s="8"/>
      <c r="C465" s="8"/>
      <c r="D465" s="8"/>
      <c r="E465" s="8"/>
      <c r="F465" s="8"/>
      <c r="G465" s="8"/>
    </row>
    <row r="466">
      <c r="B466" s="8"/>
      <c r="C466" s="8"/>
      <c r="D466" s="8"/>
      <c r="E466" s="8"/>
      <c r="F466" s="8"/>
      <c r="G466" s="8"/>
    </row>
    <row r="467">
      <c r="B467" s="8"/>
      <c r="C467" s="8"/>
      <c r="D467" s="8"/>
      <c r="E467" s="8"/>
      <c r="F467" s="8"/>
      <c r="G467" s="8"/>
    </row>
    <row r="468">
      <c r="B468" s="8"/>
      <c r="C468" s="8"/>
      <c r="D468" s="8"/>
      <c r="E468" s="8"/>
      <c r="F468" s="8"/>
      <c r="G468" s="8"/>
    </row>
    <row r="469">
      <c r="B469" s="8"/>
      <c r="C469" s="8"/>
      <c r="D469" s="8"/>
      <c r="E469" s="8"/>
      <c r="F469" s="8"/>
      <c r="G469" s="8"/>
    </row>
    <row r="470">
      <c r="B470" s="8"/>
      <c r="C470" s="8"/>
      <c r="D470" s="8"/>
      <c r="E470" s="8"/>
      <c r="F470" s="8"/>
      <c r="G470" s="8"/>
    </row>
    <row r="471">
      <c r="B471" s="8"/>
      <c r="C471" s="8"/>
      <c r="D471" s="8"/>
      <c r="E471" s="8"/>
      <c r="F471" s="8"/>
      <c r="G471" s="8"/>
    </row>
    <row r="472">
      <c r="B472" s="8"/>
      <c r="C472" s="8"/>
      <c r="D472" s="8"/>
      <c r="E472" s="8"/>
      <c r="F472" s="8"/>
      <c r="G472" s="8"/>
    </row>
    <row r="473">
      <c r="B473" s="8"/>
      <c r="C473" s="8"/>
      <c r="D473" s="8"/>
      <c r="E473" s="8"/>
      <c r="F473" s="8"/>
      <c r="G473" s="8"/>
    </row>
    <row r="474">
      <c r="B474" s="8"/>
      <c r="C474" s="8"/>
      <c r="D474" s="8"/>
      <c r="E474" s="8"/>
      <c r="F474" s="8"/>
      <c r="G474" s="8"/>
    </row>
    <row r="475">
      <c r="B475" s="8"/>
      <c r="C475" s="8"/>
      <c r="D475" s="8"/>
      <c r="E475" s="8"/>
      <c r="F475" s="8"/>
      <c r="G475" s="8"/>
    </row>
    <row r="476">
      <c r="B476" s="8"/>
      <c r="C476" s="8"/>
      <c r="D476" s="8"/>
      <c r="E476" s="8"/>
      <c r="F476" s="8"/>
      <c r="G476" s="8"/>
    </row>
    <row r="477">
      <c r="B477" s="8"/>
      <c r="C477" s="8"/>
      <c r="D477" s="8"/>
      <c r="E477" s="8"/>
      <c r="F477" s="8"/>
      <c r="G477" s="8"/>
    </row>
    <row r="478">
      <c r="B478" s="8"/>
      <c r="C478" s="8"/>
      <c r="D478" s="8"/>
      <c r="E478" s="8"/>
      <c r="F478" s="8"/>
      <c r="G478" s="8"/>
    </row>
    <row r="479">
      <c r="B479" s="8"/>
      <c r="C479" s="8"/>
      <c r="D479" s="8"/>
      <c r="E479" s="8"/>
      <c r="F479" s="8"/>
      <c r="G479" s="8"/>
    </row>
    <row r="480">
      <c r="B480" s="8"/>
      <c r="C480" s="8"/>
      <c r="D480" s="8"/>
      <c r="E480" s="8"/>
      <c r="F480" s="8"/>
      <c r="G480" s="8"/>
    </row>
    <row r="481">
      <c r="B481" s="8"/>
      <c r="C481" s="8"/>
      <c r="D481" s="8"/>
      <c r="E481" s="8"/>
      <c r="F481" s="8"/>
      <c r="G481" s="8"/>
    </row>
    <row r="482">
      <c r="B482" s="8"/>
      <c r="C482" s="8"/>
      <c r="D482" s="8"/>
      <c r="E482" s="8"/>
      <c r="F482" s="8"/>
      <c r="G482" s="8"/>
    </row>
    <row r="483">
      <c r="B483" s="8"/>
      <c r="C483" s="8"/>
      <c r="D483" s="8"/>
      <c r="E483" s="8"/>
      <c r="F483" s="8"/>
      <c r="G483" s="8"/>
    </row>
    <row r="484">
      <c r="B484" s="8"/>
      <c r="C484" s="8"/>
      <c r="D484" s="8"/>
      <c r="E484" s="8"/>
      <c r="F484" s="8"/>
      <c r="G484" s="8"/>
    </row>
    <row r="485">
      <c r="B485" s="8"/>
      <c r="C485" s="8"/>
      <c r="D485" s="8"/>
      <c r="E485" s="8"/>
      <c r="F485" s="8"/>
      <c r="G485" s="8"/>
    </row>
    <row r="486">
      <c r="B486" s="8"/>
      <c r="C486" s="8"/>
      <c r="D486" s="8"/>
      <c r="E486" s="8"/>
      <c r="F486" s="8"/>
      <c r="G486" s="8"/>
    </row>
    <row r="487">
      <c r="B487" s="8"/>
      <c r="C487" s="8"/>
      <c r="D487" s="8"/>
      <c r="E487" s="8"/>
      <c r="F487" s="8"/>
      <c r="G487" s="8"/>
    </row>
    <row r="488">
      <c r="B488" s="8"/>
      <c r="C488" s="8"/>
      <c r="D488" s="8"/>
      <c r="E488" s="8"/>
      <c r="F488" s="8"/>
      <c r="G488" s="8"/>
    </row>
    <row r="489">
      <c r="B489" s="8"/>
      <c r="C489" s="8"/>
      <c r="D489" s="8"/>
      <c r="E489" s="8"/>
      <c r="F489" s="8"/>
      <c r="G489" s="8"/>
    </row>
    <row r="490">
      <c r="B490" s="8"/>
      <c r="C490" s="8"/>
      <c r="D490" s="8"/>
      <c r="E490" s="8"/>
      <c r="F490" s="8"/>
      <c r="G490" s="8"/>
    </row>
    <row r="491">
      <c r="B491" s="8"/>
      <c r="C491" s="8"/>
      <c r="D491" s="8"/>
      <c r="E491" s="8"/>
      <c r="F491" s="8"/>
      <c r="G491" s="8"/>
    </row>
    <row r="492">
      <c r="B492" s="8"/>
      <c r="C492" s="8"/>
      <c r="D492" s="8"/>
      <c r="E492" s="8"/>
      <c r="F492" s="8"/>
      <c r="G492" s="8"/>
    </row>
    <row r="493">
      <c r="B493" s="8"/>
      <c r="C493" s="8"/>
      <c r="D493" s="8"/>
      <c r="E493" s="8"/>
      <c r="F493" s="8"/>
      <c r="G493" s="8"/>
    </row>
    <row r="494">
      <c r="B494" s="8"/>
      <c r="C494" s="8"/>
      <c r="D494" s="8"/>
      <c r="E494" s="8"/>
      <c r="F494" s="8"/>
      <c r="G494" s="8"/>
    </row>
    <row r="495">
      <c r="B495" s="8"/>
      <c r="C495" s="8"/>
      <c r="D495" s="8"/>
      <c r="E495" s="8"/>
      <c r="F495" s="8"/>
      <c r="G495" s="8"/>
    </row>
    <row r="496">
      <c r="B496" s="8"/>
      <c r="C496" s="8"/>
      <c r="D496" s="8"/>
      <c r="E496" s="8"/>
      <c r="F496" s="8"/>
      <c r="G496" s="8"/>
    </row>
    <row r="497">
      <c r="B497" s="8"/>
      <c r="C497" s="8"/>
      <c r="D497" s="8"/>
      <c r="E497" s="8"/>
      <c r="F497" s="8"/>
      <c r="G497" s="8"/>
    </row>
    <row r="498">
      <c r="B498" s="8"/>
      <c r="C498" s="8"/>
      <c r="D498" s="8"/>
      <c r="E498" s="8"/>
      <c r="F498" s="8"/>
      <c r="G498" s="8"/>
    </row>
    <row r="499">
      <c r="B499" s="8"/>
      <c r="C499" s="8"/>
      <c r="D499" s="8"/>
      <c r="E499" s="8"/>
      <c r="F499" s="8"/>
      <c r="G499" s="8"/>
    </row>
    <row r="500">
      <c r="B500" s="8"/>
      <c r="C500" s="8"/>
      <c r="D500" s="8"/>
      <c r="E500" s="8"/>
      <c r="F500" s="8"/>
      <c r="G500" s="8"/>
    </row>
    <row r="501">
      <c r="B501" s="8"/>
      <c r="C501" s="8"/>
      <c r="D501" s="8"/>
      <c r="E501" s="8"/>
      <c r="F501" s="8"/>
      <c r="G501" s="8"/>
    </row>
    <row r="502">
      <c r="B502" s="8"/>
      <c r="C502" s="8"/>
      <c r="D502" s="8"/>
      <c r="E502" s="8"/>
      <c r="F502" s="8"/>
      <c r="G502" s="8"/>
    </row>
    <row r="503">
      <c r="B503" s="8"/>
      <c r="C503" s="8"/>
      <c r="D503" s="8"/>
      <c r="E503" s="8"/>
      <c r="F503" s="8"/>
      <c r="G503" s="8"/>
    </row>
    <row r="504">
      <c r="B504" s="8"/>
      <c r="C504" s="8"/>
      <c r="D504" s="8"/>
      <c r="E504" s="8"/>
      <c r="F504" s="8"/>
      <c r="G504" s="8"/>
    </row>
    <row r="505">
      <c r="B505" s="8"/>
      <c r="C505" s="8"/>
      <c r="D505" s="8"/>
      <c r="E505" s="8"/>
      <c r="F505" s="8"/>
      <c r="G505" s="8"/>
    </row>
    <row r="506">
      <c r="B506" s="8"/>
      <c r="C506" s="8"/>
      <c r="D506" s="8"/>
      <c r="E506" s="8"/>
      <c r="F506" s="8"/>
      <c r="G506" s="8"/>
    </row>
    <row r="507">
      <c r="B507" s="8"/>
      <c r="C507" s="8"/>
      <c r="D507" s="8"/>
      <c r="E507" s="8"/>
      <c r="F507" s="8"/>
      <c r="G507" s="8"/>
    </row>
    <row r="508">
      <c r="B508" s="8"/>
      <c r="C508" s="8"/>
      <c r="D508" s="8"/>
      <c r="E508" s="8"/>
      <c r="F508" s="8"/>
      <c r="G508" s="8"/>
    </row>
    <row r="509">
      <c r="B509" s="8"/>
      <c r="C509" s="8"/>
      <c r="D509" s="8"/>
      <c r="E509" s="8"/>
      <c r="F509" s="8"/>
      <c r="G509" s="8"/>
    </row>
    <row r="510">
      <c r="B510" s="8"/>
      <c r="C510" s="8"/>
      <c r="D510" s="8"/>
      <c r="E510" s="8"/>
      <c r="F510" s="8"/>
      <c r="G510" s="8"/>
    </row>
    <row r="511">
      <c r="B511" s="8"/>
      <c r="C511" s="8"/>
      <c r="D511" s="8"/>
      <c r="E511" s="8"/>
      <c r="F511" s="8"/>
      <c r="G511" s="8"/>
    </row>
    <row r="512">
      <c r="B512" s="8"/>
      <c r="C512" s="8"/>
      <c r="D512" s="8"/>
      <c r="E512" s="8"/>
      <c r="F512" s="8"/>
      <c r="G512" s="8"/>
    </row>
    <row r="513">
      <c r="B513" s="8"/>
      <c r="C513" s="8"/>
      <c r="D513" s="8"/>
      <c r="E513" s="8"/>
      <c r="F513" s="8"/>
      <c r="G513" s="8"/>
    </row>
    <row r="514">
      <c r="B514" s="8"/>
      <c r="C514" s="8"/>
      <c r="D514" s="8"/>
      <c r="E514" s="8"/>
      <c r="F514" s="8"/>
      <c r="G514" s="8"/>
    </row>
    <row r="515">
      <c r="B515" s="8"/>
      <c r="C515" s="8"/>
      <c r="D515" s="8"/>
      <c r="E515" s="8"/>
      <c r="F515" s="8"/>
      <c r="G515" s="8"/>
    </row>
    <row r="516">
      <c r="B516" s="8"/>
      <c r="C516" s="8"/>
      <c r="D516" s="8"/>
      <c r="E516" s="8"/>
      <c r="F516" s="8"/>
      <c r="G516" s="8"/>
    </row>
    <row r="517">
      <c r="B517" s="8"/>
      <c r="C517" s="8"/>
      <c r="D517" s="8"/>
      <c r="E517" s="8"/>
      <c r="F517" s="8"/>
      <c r="G517" s="8"/>
    </row>
    <row r="518">
      <c r="B518" s="8"/>
      <c r="C518" s="8"/>
      <c r="D518" s="8"/>
      <c r="E518" s="8"/>
      <c r="F518" s="8"/>
      <c r="G518" s="8"/>
    </row>
    <row r="519">
      <c r="B519" s="8"/>
      <c r="C519" s="8"/>
      <c r="D519" s="8"/>
      <c r="E519" s="8"/>
      <c r="F519" s="8"/>
      <c r="G519" s="8"/>
    </row>
    <row r="520">
      <c r="B520" s="8"/>
      <c r="C520" s="8"/>
      <c r="D520" s="8"/>
      <c r="E520" s="8"/>
      <c r="F520" s="8"/>
      <c r="G520" s="8"/>
    </row>
    <row r="521">
      <c r="B521" s="8"/>
      <c r="C521" s="8"/>
      <c r="D521" s="8"/>
      <c r="E521" s="8"/>
      <c r="F521" s="8"/>
      <c r="G521" s="8"/>
    </row>
    <row r="522">
      <c r="B522" s="8"/>
      <c r="C522" s="8"/>
      <c r="D522" s="8"/>
      <c r="E522" s="8"/>
      <c r="F522" s="8"/>
      <c r="G522" s="8"/>
    </row>
    <row r="523">
      <c r="B523" s="8"/>
      <c r="C523" s="8"/>
      <c r="D523" s="8"/>
      <c r="E523" s="8"/>
      <c r="F523" s="8"/>
      <c r="G523" s="8"/>
    </row>
    <row r="524">
      <c r="B524" s="8"/>
      <c r="C524" s="8"/>
      <c r="D524" s="8"/>
      <c r="E524" s="8"/>
      <c r="F524" s="8"/>
      <c r="G524" s="8"/>
    </row>
    <row r="525">
      <c r="B525" s="8"/>
      <c r="C525" s="8"/>
      <c r="D525" s="8"/>
      <c r="E525" s="8"/>
      <c r="F525" s="8"/>
      <c r="G525" s="8"/>
    </row>
    <row r="526">
      <c r="B526" s="8"/>
      <c r="C526" s="8"/>
      <c r="D526" s="8"/>
      <c r="E526" s="8"/>
      <c r="F526" s="8"/>
      <c r="G526" s="8"/>
    </row>
    <row r="527">
      <c r="B527" s="8"/>
      <c r="C527" s="8"/>
      <c r="D527" s="8"/>
      <c r="E527" s="8"/>
      <c r="F527" s="8"/>
      <c r="G527" s="8"/>
    </row>
    <row r="528">
      <c r="B528" s="8"/>
      <c r="C528" s="8"/>
      <c r="D528" s="8"/>
      <c r="E528" s="8"/>
      <c r="F528" s="8"/>
      <c r="G528" s="8"/>
    </row>
    <row r="529">
      <c r="B529" s="8"/>
      <c r="C529" s="8"/>
      <c r="D529" s="8"/>
      <c r="E529" s="8"/>
      <c r="F529" s="8"/>
      <c r="G529" s="8"/>
    </row>
    <row r="530">
      <c r="B530" s="8"/>
      <c r="C530" s="8"/>
      <c r="D530" s="8"/>
      <c r="E530" s="8"/>
      <c r="F530" s="8"/>
      <c r="G530" s="8"/>
    </row>
    <row r="531">
      <c r="B531" s="8"/>
      <c r="C531" s="8"/>
      <c r="D531" s="8"/>
      <c r="E531" s="8"/>
      <c r="F531" s="8"/>
      <c r="G531" s="8"/>
    </row>
    <row r="532">
      <c r="B532" s="8"/>
      <c r="C532" s="8"/>
      <c r="D532" s="8"/>
      <c r="E532" s="8"/>
      <c r="F532" s="8"/>
      <c r="G532" s="8"/>
    </row>
    <row r="533">
      <c r="B533" s="8"/>
      <c r="C533" s="8"/>
      <c r="D533" s="8"/>
      <c r="E533" s="8"/>
      <c r="F533" s="8"/>
      <c r="G533" s="8"/>
    </row>
    <row r="534">
      <c r="B534" s="8"/>
      <c r="C534" s="8"/>
      <c r="D534" s="8"/>
      <c r="E534" s="8"/>
      <c r="F534" s="8"/>
      <c r="G534" s="8"/>
    </row>
    <row r="535">
      <c r="B535" s="8"/>
      <c r="C535" s="8"/>
      <c r="D535" s="8"/>
      <c r="E535" s="8"/>
      <c r="F535" s="8"/>
      <c r="G535" s="8"/>
    </row>
    <row r="536">
      <c r="B536" s="8"/>
      <c r="C536" s="8"/>
      <c r="D536" s="8"/>
      <c r="E536" s="8"/>
      <c r="F536" s="8"/>
      <c r="G536" s="8"/>
    </row>
    <row r="537">
      <c r="B537" s="8"/>
      <c r="C537" s="8"/>
      <c r="D537" s="8"/>
      <c r="E537" s="8"/>
      <c r="F537" s="8"/>
      <c r="G537" s="8"/>
    </row>
    <row r="538">
      <c r="B538" s="8"/>
      <c r="C538" s="8"/>
      <c r="D538" s="8"/>
      <c r="E538" s="8"/>
      <c r="F538" s="8"/>
      <c r="G538" s="8"/>
    </row>
    <row r="539">
      <c r="B539" s="8"/>
      <c r="C539" s="8"/>
      <c r="D539" s="8"/>
      <c r="E539" s="8"/>
      <c r="F539" s="8"/>
      <c r="G539" s="8"/>
    </row>
    <row r="540">
      <c r="B540" s="8"/>
      <c r="C540" s="8"/>
      <c r="D540" s="8"/>
      <c r="E540" s="8"/>
      <c r="F540" s="8"/>
      <c r="G540" s="8"/>
    </row>
    <row r="541">
      <c r="B541" s="8"/>
      <c r="C541" s="8"/>
      <c r="D541" s="8"/>
      <c r="E541" s="8"/>
      <c r="F541" s="8"/>
      <c r="G541" s="8"/>
    </row>
    <row r="542">
      <c r="B542" s="8"/>
      <c r="C542" s="8"/>
      <c r="D542" s="8"/>
      <c r="E542" s="8"/>
      <c r="F542" s="8"/>
      <c r="G542" s="8"/>
    </row>
    <row r="543">
      <c r="B543" s="8"/>
      <c r="C543" s="8"/>
      <c r="D543" s="8"/>
      <c r="E543" s="8"/>
      <c r="F543" s="8"/>
      <c r="G543" s="8"/>
    </row>
    <row r="544">
      <c r="B544" s="8"/>
      <c r="C544" s="8"/>
      <c r="D544" s="8"/>
      <c r="E544" s="8"/>
      <c r="F544" s="8"/>
      <c r="G544" s="8"/>
    </row>
    <row r="545">
      <c r="B545" s="8"/>
      <c r="C545" s="8"/>
      <c r="D545" s="8"/>
      <c r="E545" s="8"/>
      <c r="F545" s="8"/>
      <c r="G545" s="8"/>
    </row>
    <row r="546">
      <c r="B546" s="8"/>
      <c r="C546" s="8"/>
      <c r="D546" s="8"/>
      <c r="E546" s="8"/>
      <c r="F546" s="8"/>
      <c r="G546" s="8"/>
    </row>
    <row r="547">
      <c r="B547" s="8"/>
      <c r="C547" s="8"/>
      <c r="D547" s="8"/>
      <c r="E547" s="8"/>
      <c r="F547" s="8"/>
      <c r="G547" s="8"/>
    </row>
    <row r="548">
      <c r="B548" s="8"/>
      <c r="C548" s="8"/>
      <c r="D548" s="8"/>
      <c r="E548" s="8"/>
      <c r="F548" s="8"/>
      <c r="G548" s="8"/>
    </row>
    <row r="549">
      <c r="B549" s="8"/>
      <c r="C549" s="8"/>
      <c r="D549" s="8"/>
      <c r="E549" s="8"/>
      <c r="F549" s="8"/>
      <c r="G549" s="8"/>
    </row>
    <row r="550">
      <c r="B550" s="8"/>
      <c r="C550" s="8"/>
      <c r="D550" s="8"/>
      <c r="E550" s="8"/>
      <c r="F550" s="8"/>
      <c r="G550" s="8"/>
    </row>
    <row r="551">
      <c r="B551" s="8"/>
      <c r="C551" s="8"/>
      <c r="D551" s="8"/>
      <c r="E551" s="8"/>
      <c r="F551" s="8"/>
      <c r="G551" s="8"/>
    </row>
    <row r="552">
      <c r="B552" s="8"/>
      <c r="C552" s="8"/>
      <c r="D552" s="8"/>
      <c r="E552" s="8"/>
      <c r="F552" s="8"/>
      <c r="G552" s="8"/>
    </row>
    <row r="553">
      <c r="B553" s="8"/>
      <c r="C553" s="8"/>
      <c r="D553" s="8"/>
      <c r="E553" s="8"/>
      <c r="F553" s="8"/>
      <c r="G553" s="8"/>
    </row>
    <row r="554">
      <c r="B554" s="8"/>
      <c r="C554" s="8"/>
      <c r="D554" s="8"/>
      <c r="E554" s="8"/>
      <c r="F554" s="8"/>
      <c r="G554" s="8"/>
    </row>
    <row r="555">
      <c r="B555" s="8"/>
      <c r="C555" s="8"/>
      <c r="D555" s="8"/>
      <c r="E555" s="8"/>
      <c r="F555" s="8"/>
      <c r="G555" s="8"/>
    </row>
    <row r="556">
      <c r="B556" s="8"/>
      <c r="C556" s="8"/>
      <c r="D556" s="8"/>
      <c r="E556" s="8"/>
      <c r="F556" s="8"/>
      <c r="G556" s="8"/>
    </row>
    <row r="557">
      <c r="B557" s="8"/>
      <c r="C557" s="8"/>
      <c r="D557" s="8"/>
      <c r="E557" s="8"/>
      <c r="F557" s="8"/>
      <c r="G557" s="8"/>
    </row>
    <row r="558">
      <c r="B558" s="8"/>
      <c r="C558" s="8"/>
      <c r="D558" s="8"/>
      <c r="E558" s="8"/>
      <c r="F558" s="8"/>
      <c r="G558" s="8"/>
    </row>
    <row r="559">
      <c r="B559" s="8"/>
      <c r="C559" s="8"/>
      <c r="D559" s="8"/>
      <c r="E559" s="8"/>
      <c r="F559" s="8"/>
      <c r="G559" s="8"/>
    </row>
    <row r="560">
      <c r="B560" s="8"/>
      <c r="C560" s="8"/>
      <c r="D560" s="8"/>
      <c r="E560" s="8"/>
      <c r="F560" s="8"/>
      <c r="G560" s="8"/>
    </row>
    <row r="561">
      <c r="B561" s="8"/>
      <c r="C561" s="8"/>
      <c r="D561" s="8"/>
      <c r="E561" s="8"/>
      <c r="F561" s="8"/>
      <c r="G561" s="8"/>
    </row>
    <row r="562">
      <c r="B562" s="8"/>
      <c r="C562" s="8"/>
      <c r="D562" s="8"/>
      <c r="E562" s="8"/>
      <c r="F562" s="8"/>
      <c r="G562" s="8"/>
    </row>
    <row r="563">
      <c r="B563" s="8"/>
      <c r="C563" s="8"/>
      <c r="D563" s="8"/>
      <c r="E563" s="8"/>
      <c r="F563" s="8"/>
      <c r="G563" s="8"/>
    </row>
    <row r="564">
      <c r="B564" s="8"/>
      <c r="C564" s="8"/>
      <c r="D564" s="8"/>
      <c r="E564" s="8"/>
      <c r="F564" s="8"/>
      <c r="G564" s="8"/>
    </row>
    <row r="565">
      <c r="B565" s="8"/>
      <c r="C565" s="8"/>
      <c r="D565" s="8"/>
      <c r="E565" s="8"/>
      <c r="F565" s="8"/>
      <c r="G565" s="8"/>
    </row>
    <row r="566">
      <c r="B566" s="8"/>
      <c r="C566" s="8"/>
      <c r="D566" s="8"/>
      <c r="E566" s="8"/>
      <c r="F566" s="8"/>
      <c r="G566" s="8"/>
    </row>
    <row r="567">
      <c r="B567" s="8"/>
      <c r="C567" s="8"/>
      <c r="D567" s="8"/>
      <c r="E567" s="8"/>
      <c r="F567" s="8"/>
      <c r="G567" s="8"/>
    </row>
    <row r="568">
      <c r="B568" s="8"/>
      <c r="C568" s="8"/>
      <c r="D568" s="8"/>
      <c r="E568" s="8"/>
      <c r="F568" s="8"/>
      <c r="G568" s="8"/>
    </row>
    <row r="569">
      <c r="B569" s="8"/>
      <c r="C569" s="8"/>
      <c r="D569" s="8"/>
      <c r="E569" s="8"/>
      <c r="F569" s="8"/>
      <c r="G569" s="8"/>
    </row>
    <row r="570">
      <c r="B570" s="8"/>
      <c r="C570" s="8"/>
      <c r="D570" s="8"/>
      <c r="E570" s="8"/>
      <c r="F570" s="8"/>
      <c r="G570" s="8"/>
    </row>
    <row r="571">
      <c r="B571" s="8"/>
      <c r="C571" s="8"/>
      <c r="D571" s="8"/>
      <c r="E571" s="8"/>
      <c r="F571" s="8"/>
      <c r="G571" s="8"/>
    </row>
    <row r="572">
      <c r="B572" s="8"/>
      <c r="C572" s="8"/>
      <c r="D572" s="8"/>
      <c r="E572" s="8"/>
      <c r="F572" s="8"/>
      <c r="G572" s="8"/>
    </row>
    <row r="573">
      <c r="B573" s="8"/>
      <c r="C573" s="8"/>
      <c r="D573" s="8"/>
      <c r="E573" s="8"/>
      <c r="F573" s="8"/>
      <c r="G573" s="8"/>
    </row>
    <row r="574">
      <c r="B574" s="8"/>
      <c r="C574" s="8"/>
      <c r="D574" s="8"/>
      <c r="E574" s="8"/>
      <c r="F574" s="8"/>
      <c r="G574" s="8"/>
    </row>
    <row r="575">
      <c r="B575" s="8"/>
      <c r="C575" s="8"/>
      <c r="D575" s="8"/>
      <c r="E575" s="8"/>
      <c r="F575" s="8"/>
      <c r="G575" s="8"/>
    </row>
    <row r="576">
      <c r="B576" s="8"/>
      <c r="C576" s="8"/>
      <c r="D576" s="8"/>
      <c r="E576" s="8"/>
      <c r="F576" s="8"/>
      <c r="G576" s="8"/>
    </row>
    <row r="577">
      <c r="B577" s="8"/>
      <c r="C577" s="8"/>
      <c r="D577" s="8"/>
      <c r="E577" s="8"/>
      <c r="F577" s="8"/>
      <c r="G577" s="8"/>
    </row>
    <row r="578">
      <c r="B578" s="8"/>
      <c r="C578" s="8"/>
      <c r="D578" s="8"/>
      <c r="E578" s="8"/>
      <c r="F578" s="8"/>
      <c r="G578" s="8"/>
    </row>
    <row r="579">
      <c r="B579" s="8"/>
      <c r="C579" s="8"/>
      <c r="D579" s="8"/>
      <c r="E579" s="8"/>
      <c r="F579" s="8"/>
      <c r="G579" s="8"/>
    </row>
    <row r="580">
      <c r="B580" s="8"/>
      <c r="C580" s="8"/>
      <c r="D580" s="8"/>
      <c r="E580" s="8"/>
      <c r="F580" s="8"/>
      <c r="G580" s="8"/>
    </row>
    <row r="581">
      <c r="B581" s="8"/>
      <c r="C581" s="8"/>
      <c r="D581" s="8"/>
      <c r="E581" s="8"/>
      <c r="F581" s="8"/>
      <c r="G581" s="8"/>
    </row>
    <row r="582">
      <c r="B582" s="8"/>
      <c r="C582" s="8"/>
      <c r="D582" s="8"/>
      <c r="E582" s="8"/>
      <c r="F582" s="8"/>
      <c r="G582" s="8"/>
    </row>
    <row r="583">
      <c r="B583" s="8"/>
      <c r="C583" s="8"/>
      <c r="D583" s="8"/>
      <c r="E583" s="8"/>
      <c r="F583" s="8"/>
      <c r="G583" s="8"/>
    </row>
    <row r="584">
      <c r="B584" s="8"/>
      <c r="C584" s="8"/>
      <c r="D584" s="8"/>
      <c r="E584" s="8"/>
      <c r="F584" s="8"/>
      <c r="G584" s="8"/>
    </row>
    <row r="585">
      <c r="B585" s="8"/>
      <c r="C585" s="8"/>
      <c r="D585" s="8"/>
      <c r="E585" s="8"/>
      <c r="F585" s="8"/>
      <c r="G585" s="8"/>
    </row>
    <row r="586">
      <c r="B586" s="8"/>
      <c r="C586" s="8"/>
      <c r="D586" s="8"/>
      <c r="E586" s="8"/>
      <c r="F586" s="8"/>
      <c r="G586" s="8"/>
    </row>
    <row r="587">
      <c r="B587" s="8"/>
      <c r="C587" s="8"/>
      <c r="D587" s="8"/>
      <c r="E587" s="8"/>
      <c r="F587" s="8"/>
      <c r="G587" s="8"/>
    </row>
    <row r="588">
      <c r="B588" s="8"/>
      <c r="C588" s="8"/>
      <c r="D588" s="8"/>
      <c r="E588" s="8"/>
      <c r="F588" s="8"/>
      <c r="G588" s="8"/>
    </row>
    <row r="589">
      <c r="B589" s="8"/>
      <c r="C589" s="8"/>
      <c r="D589" s="8"/>
      <c r="E589" s="8"/>
      <c r="F589" s="8"/>
      <c r="G589" s="8"/>
    </row>
    <row r="590">
      <c r="B590" s="8"/>
      <c r="C590" s="8"/>
      <c r="D590" s="8"/>
      <c r="E590" s="8"/>
      <c r="F590" s="8"/>
      <c r="G590" s="8"/>
    </row>
    <row r="591">
      <c r="B591" s="8"/>
      <c r="C591" s="8"/>
      <c r="D591" s="8"/>
      <c r="E591" s="8"/>
      <c r="F591" s="8"/>
      <c r="G591" s="8"/>
    </row>
    <row r="592">
      <c r="B592" s="8"/>
      <c r="C592" s="8"/>
      <c r="D592" s="8"/>
      <c r="E592" s="8"/>
      <c r="F592" s="8"/>
      <c r="G592" s="8"/>
    </row>
    <row r="593">
      <c r="B593" s="8"/>
      <c r="C593" s="8"/>
      <c r="D593" s="8"/>
      <c r="E593" s="8"/>
      <c r="F593" s="8"/>
      <c r="G593" s="8"/>
    </row>
    <row r="594">
      <c r="B594" s="8"/>
      <c r="C594" s="8"/>
      <c r="D594" s="8"/>
      <c r="E594" s="8"/>
      <c r="F594" s="8"/>
      <c r="G594" s="8"/>
    </row>
    <row r="595">
      <c r="B595" s="8"/>
      <c r="C595" s="8"/>
      <c r="D595" s="8"/>
      <c r="E595" s="8"/>
      <c r="F595" s="8"/>
      <c r="G595" s="8"/>
    </row>
    <row r="596">
      <c r="B596" s="8"/>
      <c r="C596" s="8"/>
      <c r="D596" s="8"/>
      <c r="E596" s="8"/>
      <c r="F596" s="8"/>
      <c r="G596" s="8"/>
    </row>
    <row r="597">
      <c r="B597" s="8"/>
      <c r="C597" s="8"/>
      <c r="D597" s="8"/>
      <c r="E597" s="8"/>
      <c r="F597" s="8"/>
      <c r="G597" s="8"/>
    </row>
    <row r="598">
      <c r="B598" s="8"/>
      <c r="C598" s="8"/>
      <c r="D598" s="8"/>
      <c r="E598" s="8"/>
      <c r="F598" s="8"/>
      <c r="G598" s="8"/>
    </row>
    <row r="599">
      <c r="B599" s="8"/>
      <c r="C599" s="8"/>
      <c r="D599" s="8"/>
      <c r="E599" s="8"/>
      <c r="F599" s="8"/>
      <c r="G599" s="8"/>
    </row>
    <row r="600">
      <c r="B600" s="8"/>
      <c r="C600" s="8"/>
      <c r="D600" s="8"/>
      <c r="E600" s="8"/>
      <c r="F600" s="8"/>
      <c r="G600" s="8"/>
    </row>
    <row r="601">
      <c r="B601" s="8"/>
      <c r="C601" s="8"/>
      <c r="D601" s="8"/>
      <c r="E601" s="8"/>
      <c r="F601" s="8"/>
      <c r="G601" s="8"/>
    </row>
    <row r="602">
      <c r="B602" s="8"/>
      <c r="C602" s="8"/>
      <c r="D602" s="8"/>
      <c r="E602" s="8"/>
      <c r="F602" s="8"/>
      <c r="G602" s="8"/>
    </row>
    <row r="603">
      <c r="B603" s="8"/>
      <c r="C603" s="8"/>
      <c r="D603" s="8"/>
      <c r="E603" s="8"/>
      <c r="F603" s="8"/>
      <c r="G603" s="8"/>
    </row>
    <row r="604">
      <c r="B604" s="8"/>
      <c r="C604" s="8"/>
      <c r="D604" s="8"/>
      <c r="E604" s="8"/>
      <c r="F604" s="8"/>
      <c r="G604" s="8"/>
    </row>
    <row r="605">
      <c r="B605" s="8"/>
      <c r="C605" s="8"/>
      <c r="D605" s="8"/>
      <c r="E605" s="8"/>
      <c r="F605" s="8"/>
      <c r="G605" s="8"/>
    </row>
    <row r="606">
      <c r="B606" s="8"/>
      <c r="C606" s="8"/>
      <c r="D606" s="8"/>
      <c r="E606" s="8"/>
      <c r="F606" s="8"/>
      <c r="G606" s="8"/>
    </row>
    <row r="607">
      <c r="B607" s="8"/>
      <c r="C607" s="8"/>
      <c r="D607" s="8"/>
      <c r="E607" s="8"/>
      <c r="F607" s="8"/>
      <c r="G607" s="8"/>
    </row>
    <row r="608">
      <c r="B608" s="8"/>
      <c r="C608" s="8"/>
      <c r="D608" s="8"/>
      <c r="E608" s="8"/>
      <c r="F608" s="8"/>
      <c r="G608" s="8"/>
    </row>
    <row r="609">
      <c r="B609" s="8"/>
      <c r="C609" s="8"/>
      <c r="D609" s="8"/>
      <c r="E609" s="8"/>
      <c r="F609" s="8"/>
      <c r="G609" s="8"/>
    </row>
    <row r="610">
      <c r="B610" s="8"/>
      <c r="C610" s="8"/>
      <c r="D610" s="8"/>
      <c r="E610" s="8"/>
      <c r="F610" s="8"/>
      <c r="G610" s="8"/>
    </row>
    <row r="611">
      <c r="B611" s="8"/>
      <c r="C611" s="8"/>
      <c r="D611" s="8"/>
      <c r="E611" s="8"/>
      <c r="F611" s="8"/>
      <c r="G611" s="8"/>
    </row>
    <row r="612">
      <c r="B612" s="8"/>
      <c r="C612" s="8"/>
      <c r="D612" s="8"/>
      <c r="E612" s="8"/>
      <c r="F612" s="8"/>
      <c r="G612" s="8"/>
    </row>
    <row r="613">
      <c r="B613" s="8"/>
      <c r="C613" s="8"/>
      <c r="D613" s="8"/>
      <c r="E613" s="8"/>
      <c r="F613" s="8"/>
      <c r="G613" s="8"/>
    </row>
    <row r="614">
      <c r="B614" s="8"/>
      <c r="C614" s="8"/>
      <c r="D614" s="8"/>
      <c r="E614" s="8"/>
      <c r="F614" s="8"/>
      <c r="G614" s="8"/>
    </row>
    <row r="615">
      <c r="B615" s="8"/>
      <c r="C615" s="8"/>
      <c r="D615" s="8"/>
      <c r="E615" s="8"/>
      <c r="F615" s="8"/>
      <c r="G615" s="8"/>
    </row>
    <row r="616">
      <c r="B616" s="8"/>
      <c r="C616" s="8"/>
      <c r="D616" s="8"/>
      <c r="E616" s="8"/>
      <c r="F616" s="8"/>
      <c r="G616" s="8"/>
    </row>
    <row r="617">
      <c r="B617" s="8"/>
      <c r="C617" s="8"/>
      <c r="D617" s="8"/>
      <c r="E617" s="8"/>
      <c r="F617" s="8"/>
      <c r="G617" s="8"/>
    </row>
    <row r="618">
      <c r="B618" s="8"/>
      <c r="C618" s="8"/>
      <c r="D618" s="8"/>
      <c r="E618" s="8"/>
      <c r="F618" s="8"/>
      <c r="G618" s="8"/>
    </row>
    <row r="619">
      <c r="B619" s="8"/>
      <c r="C619" s="8"/>
      <c r="D619" s="8"/>
      <c r="E619" s="8"/>
      <c r="F619" s="8"/>
      <c r="G619" s="8"/>
    </row>
    <row r="620">
      <c r="B620" s="8"/>
      <c r="C620" s="8"/>
      <c r="D620" s="8"/>
      <c r="E620" s="8"/>
      <c r="F620" s="8"/>
      <c r="G620" s="8"/>
    </row>
    <row r="621">
      <c r="B621" s="8"/>
      <c r="C621" s="8"/>
      <c r="D621" s="8"/>
      <c r="E621" s="8"/>
      <c r="F621" s="8"/>
      <c r="G621" s="8"/>
    </row>
    <row r="622">
      <c r="B622" s="8"/>
      <c r="C622" s="8"/>
      <c r="D622" s="8"/>
      <c r="E622" s="8"/>
      <c r="F622" s="8"/>
      <c r="G622" s="8"/>
    </row>
    <row r="623">
      <c r="B623" s="8"/>
      <c r="C623" s="8"/>
      <c r="D623" s="8"/>
      <c r="E623" s="8"/>
      <c r="F623" s="8"/>
      <c r="G623" s="8"/>
    </row>
    <row r="624">
      <c r="B624" s="8"/>
      <c r="C624" s="8"/>
      <c r="D624" s="8"/>
      <c r="E624" s="8"/>
      <c r="F624" s="8"/>
      <c r="G624" s="8"/>
    </row>
    <row r="625">
      <c r="B625" s="8"/>
      <c r="C625" s="8"/>
      <c r="D625" s="8"/>
      <c r="E625" s="8"/>
      <c r="F625" s="8"/>
      <c r="G625" s="8"/>
    </row>
    <row r="626">
      <c r="B626" s="8"/>
      <c r="C626" s="8"/>
      <c r="D626" s="8"/>
      <c r="E626" s="8"/>
      <c r="F626" s="8"/>
      <c r="G626" s="8"/>
    </row>
    <row r="627">
      <c r="B627" s="8"/>
      <c r="C627" s="8"/>
      <c r="D627" s="8"/>
      <c r="E627" s="8"/>
      <c r="F627" s="8"/>
      <c r="G627" s="8"/>
    </row>
    <row r="628">
      <c r="B628" s="8"/>
      <c r="C628" s="8"/>
      <c r="D628" s="8"/>
      <c r="E628" s="8"/>
      <c r="F628" s="8"/>
      <c r="G628" s="8"/>
    </row>
    <row r="629">
      <c r="B629" s="8"/>
      <c r="C629" s="8"/>
      <c r="D629" s="8"/>
      <c r="E629" s="8"/>
      <c r="F629" s="8"/>
      <c r="G629" s="8"/>
    </row>
    <row r="630">
      <c r="B630" s="8"/>
      <c r="C630" s="8"/>
      <c r="D630" s="8"/>
      <c r="E630" s="8"/>
      <c r="F630" s="8"/>
      <c r="G630" s="8"/>
    </row>
    <row r="631">
      <c r="B631" s="8"/>
      <c r="C631" s="8"/>
      <c r="D631" s="8"/>
      <c r="E631" s="8"/>
      <c r="F631" s="8"/>
      <c r="G631" s="8"/>
    </row>
    <row r="632">
      <c r="B632" s="8"/>
      <c r="C632" s="8"/>
      <c r="D632" s="8"/>
      <c r="E632" s="8"/>
      <c r="F632" s="8"/>
      <c r="G632" s="8"/>
    </row>
    <row r="633">
      <c r="B633" s="8"/>
      <c r="C633" s="8"/>
      <c r="D633" s="8"/>
      <c r="E633" s="8"/>
      <c r="F633" s="8"/>
      <c r="G633" s="8"/>
    </row>
    <row r="634">
      <c r="B634" s="8"/>
      <c r="C634" s="8"/>
      <c r="D634" s="8"/>
      <c r="E634" s="8"/>
      <c r="F634" s="8"/>
      <c r="G634" s="8"/>
    </row>
    <row r="635">
      <c r="B635" s="8"/>
      <c r="C635" s="8"/>
      <c r="D635" s="8"/>
      <c r="E635" s="8"/>
      <c r="F635" s="8"/>
      <c r="G635" s="8"/>
    </row>
    <row r="636">
      <c r="B636" s="8"/>
      <c r="C636" s="8"/>
      <c r="D636" s="8"/>
      <c r="E636" s="8"/>
      <c r="F636" s="8"/>
      <c r="G636" s="8"/>
    </row>
    <row r="637">
      <c r="B637" s="8"/>
      <c r="C637" s="8"/>
      <c r="D637" s="8"/>
      <c r="E637" s="8"/>
      <c r="F637" s="8"/>
      <c r="G637" s="8"/>
    </row>
    <row r="638">
      <c r="B638" s="8"/>
      <c r="C638" s="8"/>
      <c r="D638" s="8"/>
      <c r="E638" s="8"/>
      <c r="F638" s="8"/>
      <c r="G638" s="8"/>
    </row>
    <row r="639">
      <c r="B639" s="8"/>
      <c r="C639" s="8"/>
      <c r="D639" s="8"/>
      <c r="E639" s="8"/>
      <c r="F639" s="8"/>
      <c r="G639" s="8"/>
    </row>
    <row r="640">
      <c r="B640" s="8"/>
      <c r="C640" s="8"/>
      <c r="D640" s="8"/>
      <c r="E640" s="8"/>
      <c r="F640" s="8"/>
      <c r="G640" s="8"/>
    </row>
    <row r="641">
      <c r="B641" s="8"/>
      <c r="C641" s="8"/>
      <c r="D641" s="8"/>
      <c r="E641" s="8"/>
      <c r="F641" s="8"/>
      <c r="G641" s="8"/>
    </row>
    <row r="642">
      <c r="B642" s="8"/>
      <c r="C642" s="8"/>
      <c r="D642" s="8"/>
      <c r="E642" s="8"/>
      <c r="F642" s="8"/>
      <c r="G642" s="8"/>
    </row>
    <row r="643">
      <c r="B643" s="8"/>
      <c r="C643" s="8"/>
      <c r="D643" s="8"/>
      <c r="E643" s="8"/>
      <c r="F643" s="8"/>
      <c r="G643" s="8"/>
    </row>
    <row r="644">
      <c r="B644" s="8"/>
      <c r="C644" s="8"/>
      <c r="D644" s="8"/>
      <c r="E644" s="8"/>
      <c r="F644" s="8"/>
      <c r="G644" s="8"/>
    </row>
    <row r="645">
      <c r="B645" s="8"/>
      <c r="C645" s="8"/>
      <c r="D645" s="8"/>
      <c r="E645" s="8"/>
      <c r="F645" s="8"/>
      <c r="G645" s="8"/>
    </row>
    <row r="646">
      <c r="B646" s="8"/>
      <c r="C646" s="8"/>
      <c r="D646" s="8"/>
      <c r="E646" s="8"/>
      <c r="F646" s="8"/>
      <c r="G646" s="8"/>
    </row>
    <row r="647">
      <c r="B647" s="8"/>
      <c r="C647" s="8"/>
      <c r="D647" s="8"/>
      <c r="E647" s="8"/>
      <c r="F647" s="8"/>
      <c r="G647" s="8"/>
    </row>
    <row r="648">
      <c r="B648" s="8"/>
      <c r="C648" s="8"/>
      <c r="D648" s="8"/>
      <c r="E648" s="8"/>
      <c r="F648" s="8"/>
      <c r="G648" s="8"/>
    </row>
    <row r="649">
      <c r="B649" s="8"/>
      <c r="C649" s="8"/>
      <c r="D649" s="8"/>
      <c r="E649" s="8"/>
      <c r="F649" s="8"/>
      <c r="G649" s="8"/>
    </row>
    <row r="650">
      <c r="B650" s="8"/>
      <c r="C650" s="8"/>
      <c r="D650" s="8"/>
      <c r="E650" s="8"/>
      <c r="F650" s="8"/>
      <c r="G650" s="8"/>
    </row>
    <row r="651">
      <c r="B651" s="8"/>
      <c r="C651" s="8"/>
      <c r="D651" s="8"/>
      <c r="E651" s="8"/>
      <c r="F651" s="8"/>
      <c r="G651" s="8"/>
    </row>
    <row r="652">
      <c r="B652" s="8"/>
      <c r="C652" s="8"/>
      <c r="D652" s="8"/>
      <c r="E652" s="8"/>
      <c r="F652" s="8"/>
      <c r="G652" s="8"/>
    </row>
    <row r="653">
      <c r="B653" s="8"/>
      <c r="C653" s="8"/>
      <c r="D653" s="8"/>
      <c r="E653" s="8"/>
      <c r="F653" s="8"/>
      <c r="G653" s="8"/>
    </row>
    <row r="654">
      <c r="B654" s="8"/>
      <c r="C654" s="8"/>
      <c r="D654" s="8"/>
      <c r="E654" s="8"/>
      <c r="F654" s="8"/>
      <c r="G654" s="8"/>
    </row>
    <row r="655">
      <c r="B655" s="8"/>
      <c r="C655" s="8"/>
      <c r="D655" s="8"/>
      <c r="E655" s="8"/>
      <c r="F655" s="8"/>
      <c r="G655" s="8"/>
    </row>
    <row r="656">
      <c r="B656" s="8"/>
      <c r="C656" s="8"/>
      <c r="D656" s="8"/>
      <c r="E656" s="8"/>
      <c r="F656" s="8"/>
      <c r="G656" s="8"/>
    </row>
    <row r="657">
      <c r="B657" s="8"/>
      <c r="C657" s="8"/>
      <c r="D657" s="8"/>
      <c r="E657" s="8"/>
      <c r="F657" s="8"/>
      <c r="G657" s="8"/>
    </row>
    <row r="658">
      <c r="B658" s="8"/>
      <c r="C658" s="8"/>
      <c r="D658" s="8"/>
      <c r="E658" s="8"/>
      <c r="F658" s="8"/>
      <c r="G658" s="8"/>
    </row>
    <row r="659">
      <c r="B659" s="8"/>
      <c r="C659" s="8"/>
      <c r="D659" s="8"/>
      <c r="E659" s="8"/>
      <c r="F659" s="8"/>
      <c r="G659" s="8"/>
    </row>
    <row r="660">
      <c r="B660" s="8"/>
      <c r="C660" s="8"/>
      <c r="D660" s="8"/>
      <c r="E660" s="8"/>
      <c r="F660" s="8"/>
      <c r="G660" s="8"/>
    </row>
    <row r="661">
      <c r="B661" s="8"/>
      <c r="C661" s="8"/>
      <c r="D661" s="8"/>
      <c r="E661" s="8"/>
      <c r="F661" s="8"/>
      <c r="G661" s="8"/>
    </row>
    <row r="662">
      <c r="B662" s="8"/>
      <c r="C662" s="8"/>
      <c r="D662" s="8"/>
      <c r="E662" s="8"/>
      <c r="F662" s="8"/>
      <c r="G662" s="8"/>
    </row>
    <row r="663">
      <c r="B663" s="8"/>
      <c r="C663" s="8"/>
      <c r="D663" s="8"/>
      <c r="E663" s="8"/>
      <c r="F663" s="8"/>
      <c r="G663" s="8"/>
    </row>
    <row r="664">
      <c r="B664" s="8"/>
      <c r="C664" s="8"/>
      <c r="D664" s="8"/>
      <c r="E664" s="8"/>
      <c r="F664" s="8"/>
      <c r="G664" s="8"/>
    </row>
    <row r="665">
      <c r="B665" s="8"/>
      <c r="C665" s="8"/>
      <c r="D665" s="8"/>
      <c r="E665" s="8"/>
      <c r="F665" s="8"/>
      <c r="G665" s="8"/>
    </row>
    <row r="666">
      <c r="B666" s="8"/>
      <c r="C666" s="8"/>
      <c r="D666" s="8"/>
      <c r="E666" s="8"/>
      <c r="F666" s="8"/>
      <c r="G666" s="8"/>
    </row>
    <row r="667">
      <c r="B667" s="8"/>
      <c r="C667" s="8"/>
      <c r="D667" s="8"/>
      <c r="E667" s="8"/>
      <c r="F667" s="8"/>
      <c r="G667" s="8"/>
    </row>
    <row r="668">
      <c r="B668" s="8"/>
      <c r="C668" s="8"/>
      <c r="D668" s="8"/>
      <c r="E668" s="8"/>
      <c r="F668" s="8"/>
      <c r="G668" s="8"/>
    </row>
    <row r="669">
      <c r="B669" s="8"/>
      <c r="C669" s="8"/>
      <c r="D669" s="8"/>
      <c r="E669" s="8"/>
      <c r="F669" s="8"/>
      <c r="G669" s="8"/>
    </row>
    <row r="670">
      <c r="B670" s="8"/>
      <c r="C670" s="8"/>
      <c r="D670" s="8"/>
      <c r="E670" s="8"/>
      <c r="F670" s="8"/>
      <c r="G670" s="8"/>
    </row>
    <row r="671">
      <c r="B671" s="8"/>
      <c r="C671" s="8"/>
      <c r="D671" s="8"/>
      <c r="E671" s="8"/>
      <c r="F671" s="8"/>
      <c r="G671" s="8"/>
    </row>
    <row r="672">
      <c r="B672" s="8"/>
      <c r="C672" s="8"/>
      <c r="D672" s="8"/>
      <c r="E672" s="8"/>
      <c r="F672" s="8"/>
      <c r="G672" s="8"/>
    </row>
    <row r="673">
      <c r="B673" s="8"/>
      <c r="C673" s="8"/>
      <c r="D673" s="8"/>
      <c r="E673" s="8"/>
      <c r="F673" s="8"/>
      <c r="G673" s="8"/>
    </row>
    <row r="674">
      <c r="B674" s="8"/>
      <c r="C674" s="8"/>
      <c r="D674" s="8"/>
      <c r="E674" s="8"/>
      <c r="F674" s="8"/>
      <c r="G674" s="8"/>
    </row>
    <row r="675">
      <c r="B675" s="8"/>
      <c r="C675" s="8"/>
      <c r="D675" s="8"/>
      <c r="E675" s="8"/>
      <c r="F675" s="8"/>
      <c r="G675" s="8"/>
    </row>
    <row r="676">
      <c r="B676" s="8"/>
      <c r="C676" s="8"/>
      <c r="D676" s="8"/>
      <c r="E676" s="8"/>
      <c r="F676" s="8"/>
      <c r="G676" s="8"/>
    </row>
    <row r="677">
      <c r="B677" s="8"/>
      <c r="C677" s="8"/>
      <c r="D677" s="8"/>
      <c r="E677" s="8"/>
      <c r="F677" s="8"/>
      <c r="G677" s="8"/>
    </row>
    <row r="678">
      <c r="B678" s="8"/>
      <c r="C678" s="8"/>
      <c r="D678" s="8"/>
      <c r="E678" s="8"/>
      <c r="F678" s="8"/>
      <c r="G678" s="8"/>
    </row>
    <row r="679">
      <c r="B679" s="8"/>
      <c r="C679" s="8"/>
      <c r="D679" s="8"/>
      <c r="E679" s="8"/>
      <c r="F679" s="8"/>
      <c r="G679" s="8"/>
    </row>
    <row r="680">
      <c r="B680" s="8"/>
      <c r="C680" s="8"/>
      <c r="D680" s="8"/>
      <c r="E680" s="8"/>
      <c r="F680" s="8"/>
      <c r="G680" s="8"/>
    </row>
    <row r="681">
      <c r="B681" s="8"/>
      <c r="C681" s="8"/>
      <c r="D681" s="8"/>
      <c r="E681" s="8"/>
      <c r="F681" s="8"/>
      <c r="G681" s="8"/>
    </row>
    <row r="682">
      <c r="B682" s="8"/>
      <c r="C682" s="8"/>
      <c r="D682" s="8"/>
      <c r="E682" s="8"/>
      <c r="F682" s="8"/>
      <c r="G682" s="8"/>
    </row>
    <row r="683">
      <c r="B683" s="8"/>
      <c r="C683" s="8"/>
      <c r="D683" s="8"/>
      <c r="E683" s="8"/>
      <c r="F683" s="8"/>
      <c r="G683" s="8"/>
    </row>
    <row r="684">
      <c r="B684" s="8"/>
      <c r="C684" s="8"/>
      <c r="D684" s="8"/>
      <c r="E684" s="8"/>
      <c r="F684" s="8"/>
      <c r="G684" s="8"/>
    </row>
    <row r="685">
      <c r="B685" s="8"/>
      <c r="C685" s="8"/>
      <c r="D685" s="8"/>
      <c r="E685" s="8"/>
      <c r="F685" s="8"/>
      <c r="G685" s="8"/>
    </row>
    <row r="686">
      <c r="B686" s="8"/>
      <c r="C686" s="8"/>
      <c r="D686" s="8"/>
      <c r="E686" s="8"/>
      <c r="F686" s="8"/>
      <c r="G686" s="8"/>
    </row>
    <row r="687">
      <c r="B687" s="8"/>
      <c r="C687" s="8"/>
      <c r="D687" s="8"/>
      <c r="E687" s="8"/>
      <c r="F687" s="8"/>
      <c r="G687" s="8"/>
    </row>
    <row r="688">
      <c r="B688" s="8"/>
      <c r="C688" s="8"/>
      <c r="D688" s="8"/>
      <c r="E688" s="8"/>
      <c r="F688" s="8"/>
      <c r="G688" s="8"/>
    </row>
    <row r="689">
      <c r="B689" s="8"/>
      <c r="C689" s="8"/>
      <c r="D689" s="8"/>
      <c r="E689" s="8"/>
      <c r="F689" s="8"/>
      <c r="G689" s="8"/>
    </row>
    <row r="690">
      <c r="B690" s="8"/>
      <c r="C690" s="8"/>
      <c r="D690" s="8"/>
      <c r="E690" s="8"/>
      <c r="F690" s="8"/>
      <c r="G690" s="8"/>
    </row>
    <row r="691">
      <c r="B691" s="8"/>
      <c r="C691" s="8"/>
      <c r="D691" s="8"/>
      <c r="E691" s="8"/>
      <c r="F691" s="8"/>
      <c r="G691" s="8"/>
    </row>
    <row r="692">
      <c r="B692" s="8"/>
      <c r="C692" s="8"/>
      <c r="D692" s="8"/>
      <c r="E692" s="8"/>
      <c r="F692" s="8"/>
      <c r="G692" s="8"/>
    </row>
    <row r="693">
      <c r="B693" s="8"/>
      <c r="C693" s="8"/>
      <c r="D693" s="8"/>
      <c r="E693" s="8"/>
      <c r="F693" s="8"/>
      <c r="G693" s="8"/>
    </row>
    <row r="694">
      <c r="B694" s="8"/>
      <c r="C694" s="8"/>
      <c r="D694" s="8"/>
      <c r="E694" s="8"/>
      <c r="F694" s="8"/>
      <c r="G694" s="8"/>
    </row>
    <row r="695">
      <c r="B695" s="8"/>
      <c r="C695" s="8"/>
      <c r="D695" s="8"/>
      <c r="E695" s="8"/>
      <c r="F695" s="8"/>
      <c r="G695" s="8"/>
    </row>
    <row r="696">
      <c r="B696" s="8"/>
      <c r="C696" s="8"/>
      <c r="D696" s="8"/>
      <c r="E696" s="8"/>
      <c r="F696" s="8"/>
      <c r="G696" s="8"/>
    </row>
    <row r="697">
      <c r="B697" s="8"/>
      <c r="C697" s="8"/>
      <c r="D697" s="8"/>
      <c r="E697" s="8"/>
      <c r="F697" s="8"/>
      <c r="G697" s="8"/>
    </row>
    <row r="698">
      <c r="B698" s="8"/>
      <c r="C698" s="8"/>
      <c r="D698" s="8"/>
      <c r="E698" s="8"/>
      <c r="F698" s="8"/>
      <c r="G698" s="8"/>
    </row>
    <row r="699">
      <c r="B699" s="8"/>
      <c r="C699" s="8"/>
      <c r="D699" s="8"/>
      <c r="E699" s="8"/>
      <c r="F699" s="8"/>
      <c r="G699" s="8"/>
    </row>
    <row r="700">
      <c r="B700" s="8"/>
      <c r="C700" s="8"/>
      <c r="D700" s="8"/>
      <c r="E700" s="8"/>
      <c r="F700" s="8"/>
      <c r="G700" s="8"/>
    </row>
    <row r="701">
      <c r="B701" s="8"/>
      <c r="C701" s="8"/>
      <c r="D701" s="8"/>
      <c r="E701" s="8"/>
      <c r="F701" s="8"/>
      <c r="G701" s="8"/>
    </row>
    <row r="702">
      <c r="B702" s="8"/>
      <c r="C702" s="8"/>
      <c r="D702" s="8"/>
      <c r="E702" s="8"/>
      <c r="F702" s="8"/>
      <c r="G702" s="8"/>
    </row>
    <row r="703">
      <c r="B703" s="8"/>
      <c r="C703" s="8"/>
      <c r="D703" s="8"/>
      <c r="E703" s="8"/>
      <c r="F703" s="8"/>
      <c r="G703" s="8"/>
    </row>
    <row r="704">
      <c r="B704" s="8"/>
      <c r="C704" s="8"/>
      <c r="D704" s="8"/>
      <c r="E704" s="8"/>
      <c r="F704" s="8"/>
      <c r="G704" s="8"/>
    </row>
    <row r="705">
      <c r="B705" s="8"/>
      <c r="C705" s="8"/>
      <c r="D705" s="8"/>
      <c r="E705" s="8"/>
      <c r="F705" s="8"/>
      <c r="G705" s="8"/>
    </row>
    <row r="706">
      <c r="B706" s="8"/>
      <c r="C706" s="8"/>
      <c r="D706" s="8"/>
      <c r="E706" s="8"/>
      <c r="F706" s="8"/>
      <c r="G706" s="8"/>
    </row>
    <row r="707">
      <c r="B707" s="8"/>
      <c r="C707" s="8"/>
      <c r="D707" s="8"/>
      <c r="E707" s="8"/>
      <c r="F707" s="8"/>
      <c r="G707" s="8"/>
    </row>
    <row r="708">
      <c r="B708" s="8"/>
      <c r="C708" s="8"/>
      <c r="D708" s="8"/>
      <c r="E708" s="8"/>
      <c r="F708" s="8"/>
      <c r="G708" s="8"/>
    </row>
    <row r="709">
      <c r="B709" s="8"/>
      <c r="C709" s="8"/>
      <c r="D709" s="8"/>
      <c r="E709" s="8"/>
      <c r="F709" s="8"/>
      <c r="G709" s="8"/>
    </row>
    <row r="710">
      <c r="B710" s="8"/>
      <c r="C710" s="8"/>
      <c r="D710" s="8"/>
      <c r="E710" s="8"/>
      <c r="F710" s="8"/>
      <c r="G710" s="8"/>
    </row>
    <row r="711">
      <c r="B711" s="8"/>
      <c r="C711" s="8"/>
      <c r="D711" s="8"/>
      <c r="E711" s="8"/>
      <c r="F711" s="8"/>
      <c r="G711" s="8"/>
    </row>
    <row r="712">
      <c r="B712" s="8"/>
      <c r="C712" s="8"/>
      <c r="D712" s="8"/>
      <c r="E712" s="8"/>
      <c r="F712" s="8"/>
      <c r="G712" s="8"/>
    </row>
    <row r="713">
      <c r="B713" s="8"/>
      <c r="C713" s="8"/>
      <c r="D713" s="8"/>
      <c r="E713" s="8"/>
      <c r="F713" s="8"/>
      <c r="G713" s="8"/>
    </row>
    <row r="714">
      <c r="B714" s="8"/>
      <c r="C714" s="8"/>
      <c r="D714" s="8"/>
      <c r="E714" s="8"/>
      <c r="F714" s="8"/>
      <c r="G714" s="8"/>
    </row>
    <row r="715">
      <c r="B715" s="8"/>
      <c r="C715" s="8"/>
      <c r="D715" s="8"/>
      <c r="E715" s="8"/>
      <c r="F715" s="8"/>
      <c r="G715" s="8"/>
    </row>
    <row r="716">
      <c r="B716" s="8"/>
      <c r="C716" s="8"/>
      <c r="D716" s="8"/>
      <c r="E716" s="8"/>
      <c r="F716" s="8"/>
      <c r="G716" s="8"/>
    </row>
    <row r="717">
      <c r="B717" s="8"/>
      <c r="C717" s="8"/>
      <c r="D717" s="8"/>
      <c r="E717" s="8"/>
      <c r="F717" s="8"/>
      <c r="G717" s="8"/>
    </row>
    <row r="718">
      <c r="B718" s="8"/>
      <c r="C718" s="8"/>
      <c r="D718" s="8"/>
      <c r="E718" s="8"/>
      <c r="F718" s="8"/>
      <c r="G718" s="8"/>
    </row>
    <row r="719">
      <c r="B719" s="8"/>
      <c r="C719" s="8"/>
      <c r="D719" s="8"/>
      <c r="E719" s="8"/>
      <c r="F719" s="8"/>
      <c r="G719" s="8"/>
    </row>
    <row r="720">
      <c r="B720" s="8"/>
      <c r="C720" s="8"/>
      <c r="D720" s="8"/>
      <c r="E720" s="8"/>
      <c r="F720" s="8"/>
      <c r="G720" s="8"/>
    </row>
    <row r="721">
      <c r="B721" s="8"/>
      <c r="C721" s="8"/>
      <c r="D721" s="8"/>
      <c r="E721" s="8"/>
      <c r="F721" s="8"/>
      <c r="G721" s="8"/>
    </row>
    <row r="722">
      <c r="B722" s="8"/>
      <c r="C722" s="8"/>
      <c r="D722" s="8"/>
      <c r="E722" s="8"/>
      <c r="F722" s="8"/>
      <c r="G722" s="8"/>
    </row>
    <row r="723">
      <c r="B723" s="8"/>
      <c r="C723" s="8"/>
      <c r="D723" s="8"/>
      <c r="E723" s="8"/>
      <c r="F723" s="8"/>
      <c r="G723" s="8"/>
    </row>
    <row r="724">
      <c r="B724" s="8"/>
      <c r="C724" s="8"/>
      <c r="D724" s="8"/>
      <c r="E724" s="8"/>
      <c r="F724" s="8"/>
      <c r="G724" s="8"/>
    </row>
    <row r="725">
      <c r="B725" s="8"/>
      <c r="C725" s="8"/>
      <c r="D725" s="8"/>
      <c r="E725" s="8"/>
      <c r="F725" s="8"/>
      <c r="G725" s="8"/>
    </row>
    <row r="726">
      <c r="B726" s="8"/>
      <c r="C726" s="8"/>
      <c r="D726" s="8"/>
      <c r="E726" s="8"/>
      <c r="F726" s="8"/>
      <c r="G726" s="8"/>
    </row>
    <row r="727">
      <c r="B727" s="8"/>
      <c r="C727" s="8"/>
      <c r="D727" s="8"/>
      <c r="E727" s="8"/>
      <c r="F727" s="8"/>
      <c r="G727" s="8"/>
    </row>
    <row r="728">
      <c r="B728" s="8"/>
      <c r="C728" s="8"/>
      <c r="D728" s="8"/>
      <c r="E728" s="8"/>
      <c r="F728" s="8"/>
      <c r="G728" s="8"/>
    </row>
    <row r="729">
      <c r="B729" s="8"/>
      <c r="C729" s="8"/>
      <c r="D729" s="8"/>
      <c r="E729" s="8"/>
      <c r="F729" s="8"/>
      <c r="G729" s="8"/>
    </row>
    <row r="730">
      <c r="B730" s="8"/>
      <c r="C730" s="8"/>
      <c r="D730" s="8"/>
      <c r="E730" s="8"/>
      <c r="F730" s="8"/>
      <c r="G730" s="8"/>
    </row>
    <row r="731">
      <c r="B731" s="8"/>
      <c r="C731" s="8"/>
      <c r="D731" s="8"/>
      <c r="E731" s="8"/>
      <c r="F731" s="8"/>
      <c r="G731" s="8"/>
    </row>
    <row r="732">
      <c r="B732" s="8"/>
      <c r="C732" s="8"/>
      <c r="D732" s="8"/>
      <c r="E732" s="8"/>
      <c r="F732" s="8"/>
      <c r="G732" s="8"/>
    </row>
    <row r="733">
      <c r="B733" s="8"/>
      <c r="C733" s="8"/>
      <c r="D733" s="8"/>
      <c r="E733" s="8"/>
      <c r="F733" s="8"/>
      <c r="G733" s="8"/>
    </row>
    <row r="734">
      <c r="B734" s="8"/>
      <c r="C734" s="8"/>
      <c r="D734" s="8"/>
      <c r="E734" s="8"/>
      <c r="F734" s="8"/>
      <c r="G734" s="8"/>
    </row>
    <row r="735">
      <c r="B735" s="8"/>
      <c r="C735" s="8"/>
      <c r="D735" s="8"/>
      <c r="E735" s="8"/>
      <c r="F735" s="8"/>
      <c r="G735" s="8"/>
    </row>
    <row r="736">
      <c r="B736" s="8"/>
      <c r="C736" s="8"/>
      <c r="D736" s="8"/>
      <c r="E736" s="8"/>
      <c r="F736" s="8"/>
      <c r="G736" s="8"/>
    </row>
    <row r="737">
      <c r="B737" s="8"/>
      <c r="C737" s="8"/>
      <c r="D737" s="8"/>
      <c r="E737" s="8"/>
      <c r="F737" s="8"/>
      <c r="G737" s="8"/>
    </row>
    <row r="738">
      <c r="B738" s="8"/>
      <c r="C738" s="8"/>
      <c r="D738" s="8"/>
      <c r="E738" s="8"/>
      <c r="F738" s="8"/>
      <c r="G738" s="8"/>
    </row>
    <row r="739">
      <c r="B739" s="8"/>
      <c r="C739" s="8"/>
      <c r="D739" s="8"/>
      <c r="E739" s="8"/>
      <c r="F739" s="8"/>
      <c r="G739" s="8"/>
    </row>
    <row r="740">
      <c r="B740" s="8"/>
      <c r="C740" s="8"/>
      <c r="D740" s="8"/>
      <c r="E740" s="8"/>
      <c r="F740" s="8"/>
      <c r="G740" s="8"/>
    </row>
    <row r="741">
      <c r="B741" s="8"/>
      <c r="C741" s="8"/>
      <c r="D741" s="8"/>
      <c r="E741" s="8"/>
      <c r="F741" s="8"/>
      <c r="G741" s="8"/>
    </row>
    <row r="742">
      <c r="B742" s="8"/>
      <c r="C742" s="8"/>
      <c r="D742" s="8"/>
      <c r="E742" s="8"/>
      <c r="F742" s="8"/>
      <c r="G742" s="8"/>
    </row>
    <row r="743">
      <c r="B743" s="8"/>
      <c r="C743" s="8"/>
      <c r="D743" s="8"/>
      <c r="E743" s="8"/>
      <c r="F743" s="8"/>
      <c r="G743" s="8"/>
    </row>
    <row r="744">
      <c r="B744" s="8"/>
      <c r="C744" s="8"/>
      <c r="D744" s="8"/>
      <c r="E744" s="8"/>
      <c r="F744" s="8"/>
      <c r="G744" s="8"/>
    </row>
    <row r="745">
      <c r="B745" s="8"/>
      <c r="C745" s="8"/>
      <c r="D745" s="8"/>
      <c r="E745" s="8"/>
      <c r="F745" s="8"/>
      <c r="G745" s="8"/>
    </row>
    <row r="746">
      <c r="B746" s="8"/>
      <c r="C746" s="8"/>
      <c r="D746" s="8"/>
      <c r="E746" s="8"/>
      <c r="F746" s="8"/>
      <c r="G746" s="8"/>
    </row>
    <row r="747">
      <c r="B747" s="8"/>
      <c r="C747" s="8"/>
      <c r="D747" s="8"/>
      <c r="E747" s="8"/>
      <c r="F747" s="8"/>
      <c r="G747" s="8"/>
    </row>
    <row r="748">
      <c r="B748" s="8"/>
      <c r="C748" s="8"/>
      <c r="D748" s="8"/>
      <c r="E748" s="8"/>
      <c r="F748" s="8"/>
      <c r="G748" s="8"/>
    </row>
    <row r="749">
      <c r="B749" s="8"/>
      <c r="C749" s="8"/>
      <c r="D749" s="8"/>
      <c r="E749" s="8"/>
      <c r="F749" s="8"/>
      <c r="G749" s="8"/>
    </row>
    <row r="750">
      <c r="B750" s="8"/>
      <c r="C750" s="8"/>
      <c r="D750" s="8"/>
      <c r="E750" s="8"/>
      <c r="F750" s="8"/>
      <c r="G750" s="8"/>
    </row>
    <row r="751">
      <c r="B751" s="8"/>
      <c r="C751" s="8"/>
      <c r="D751" s="8"/>
      <c r="E751" s="8"/>
      <c r="F751" s="8"/>
      <c r="G751" s="8"/>
    </row>
    <row r="752">
      <c r="B752" s="8"/>
      <c r="C752" s="8"/>
      <c r="D752" s="8"/>
      <c r="E752" s="8"/>
      <c r="F752" s="8"/>
      <c r="G752" s="8"/>
    </row>
    <row r="753">
      <c r="B753" s="8"/>
      <c r="C753" s="8"/>
      <c r="D753" s="8"/>
      <c r="E753" s="8"/>
      <c r="F753" s="8"/>
      <c r="G753" s="8"/>
    </row>
    <row r="754">
      <c r="B754" s="8"/>
      <c r="C754" s="8"/>
      <c r="D754" s="8"/>
      <c r="E754" s="8"/>
      <c r="F754" s="8"/>
      <c r="G754" s="8"/>
    </row>
    <row r="755">
      <c r="B755" s="8"/>
      <c r="C755" s="8"/>
      <c r="D755" s="8"/>
      <c r="E755" s="8"/>
      <c r="F755" s="8"/>
      <c r="G755" s="8"/>
    </row>
    <row r="756">
      <c r="B756" s="8"/>
      <c r="C756" s="8"/>
      <c r="D756" s="8"/>
      <c r="E756" s="8"/>
      <c r="F756" s="8"/>
      <c r="G756" s="8"/>
    </row>
    <row r="757">
      <c r="B757" s="8"/>
      <c r="C757" s="8"/>
      <c r="D757" s="8"/>
      <c r="E757" s="8"/>
      <c r="F757" s="8"/>
      <c r="G757" s="8"/>
    </row>
    <row r="758">
      <c r="B758" s="8"/>
      <c r="C758" s="8"/>
      <c r="D758" s="8"/>
      <c r="E758" s="8"/>
      <c r="F758" s="8"/>
      <c r="G758" s="8"/>
    </row>
    <row r="759">
      <c r="B759" s="8"/>
      <c r="C759" s="8"/>
      <c r="D759" s="8"/>
      <c r="E759" s="8"/>
      <c r="F759" s="8"/>
      <c r="G759" s="8"/>
    </row>
    <row r="760">
      <c r="B760" s="8"/>
      <c r="C760" s="8"/>
      <c r="D760" s="8"/>
      <c r="E760" s="8"/>
      <c r="F760" s="8"/>
      <c r="G760" s="8"/>
    </row>
    <row r="761">
      <c r="B761" s="8"/>
      <c r="C761" s="8"/>
      <c r="D761" s="8"/>
      <c r="E761" s="8"/>
      <c r="F761" s="8"/>
      <c r="G761" s="8"/>
    </row>
    <row r="762">
      <c r="B762" s="8"/>
      <c r="C762" s="8"/>
      <c r="D762" s="8"/>
      <c r="E762" s="8"/>
      <c r="F762" s="8"/>
      <c r="G762" s="8"/>
    </row>
    <row r="763">
      <c r="B763" s="8"/>
      <c r="C763" s="8"/>
      <c r="D763" s="8"/>
      <c r="E763" s="8"/>
      <c r="F763" s="8"/>
      <c r="G763" s="8"/>
    </row>
    <row r="764">
      <c r="B764" s="8"/>
      <c r="C764" s="8"/>
      <c r="D764" s="8"/>
      <c r="E764" s="8"/>
      <c r="F764" s="8"/>
      <c r="G764" s="8"/>
    </row>
    <row r="765">
      <c r="B765" s="8"/>
      <c r="C765" s="8"/>
      <c r="D765" s="8"/>
      <c r="E765" s="8"/>
      <c r="F765" s="8"/>
      <c r="G765" s="8"/>
    </row>
    <row r="766">
      <c r="B766" s="8"/>
      <c r="C766" s="8"/>
      <c r="D766" s="8"/>
      <c r="E766" s="8"/>
      <c r="F766" s="8"/>
      <c r="G766" s="8"/>
    </row>
    <row r="767">
      <c r="B767" s="8"/>
      <c r="C767" s="8"/>
      <c r="D767" s="8"/>
      <c r="E767" s="8"/>
      <c r="F767" s="8"/>
      <c r="G767" s="8"/>
    </row>
    <row r="768">
      <c r="B768" s="8"/>
      <c r="C768" s="8"/>
      <c r="D768" s="8"/>
      <c r="E768" s="8"/>
      <c r="F768" s="8"/>
      <c r="G768" s="8"/>
    </row>
    <row r="769">
      <c r="B769" s="8"/>
      <c r="C769" s="8"/>
      <c r="D769" s="8"/>
      <c r="E769" s="8"/>
      <c r="F769" s="8"/>
      <c r="G769" s="8"/>
    </row>
    <row r="770">
      <c r="B770" s="8"/>
      <c r="C770" s="8"/>
      <c r="D770" s="8"/>
      <c r="E770" s="8"/>
      <c r="F770" s="8"/>
      <c r="G770" s="8"/>
    </row>
    <row r="771">
      <c r="B771" s="8"/>
      <c r="C771" s="8"/>
      <c r="D771" s="8"/>
      <c r="E771" s="8"/>
      <c r="F771" s="8"/>
      <c r="G771" s="8"/>
    </row>
    <row r="772">
      <c r="B772" s="8"/>
      <c r="C772" s="8"/>
      <c r="D772" s="8"/>
      <c r="E772" s="8"/>
      <c r="F772" s="8"/>
      <c r="G772" s="8"/>
    </row>
    <row r="773">
      <c r="B773" s="8"/>
      <c r="C773" s="8"/>
      <c r="D773" s="8"/>
      <c r="E773" s="8"/>
      <c r="F773" s="8"/>
      <c r="G773" s="8"/>
    </row>
    <row r="774">
      <c r="B774" s="8"/>
      <c r="C774" s="8"/>
      <c r="D774" s="8"/>
      <c r="E774" s="8"/>
      <c r="F774" s="8"/>
      <c r="G774" s="8"/>
    </row>
    <row r="775">
      <c r="B775" s="8"/>
      <c r="C775" s="8"/>
      <c r="D775" s="8"/>
      <c r="E775" s="8"/>
      <c r="F775" s="8"/>
      <c r="G775" s="8"/>
    </row>
    <row r="776">
      <c r="B776" s="8"/>
      <c r="C776" s="8"/>
      <c r="D776" s="8"/>
      <c r="E776" s="8"/>
      <c r="F776" s="8"/>
      <c r="G776" s="8"/>
    </row>
    <row r="777">
      <c r="B777" s="8"/>
      <c r="C777" s="8"/>
      <c r="D777" s="8"/>
      <c r="E777" s="8"/>
      <c r="F777" s="8"/>
      <c r="G777" s="8"/>
    </row>
    <row r="778">
      <c r="B778" s="8"/>
      <c r="C778" s="8"/>
      <c r="D778" s="8"/>
      <c r="E778" s="8"/>
      <c r="F778" s="8"/>
      <c r="G778" s="8"/>
    </row>
    <row r="779">
      <c r="B779" s="8"/>
      <c r="C779" s="8"/>
      <c r="D779" s="8"/>
      <c r="E779" s="8"/>
      <c r="F779" s="8"/>
      <c r="G779" s="8"/>
    </row>
    <row r="780">
      <c r="B780" s="8"/>
      <c r="C780" s="8"/>
      <c r="D780" s="8"/>
      <c r="E780" s="8"/>
      <c r="F780" s="8"/>
      <c r="G780" s="8"/>
    </row>
    <row r="781">
      <c r="B781" s="8"/>
      <c r="C781" s="8"/>
      <c r="D781" s="8"/>
      <c r="E781" s="8"/>
      <c r="F781" s="8"/>
      <c r="G781" s="8"/>
    </row>
    <row r="782">
      <c r="B782" s="8"/>
      <c r="C782" s="8"/>
      <c r="D782" s="8"/>
      <c r="E782" s="8"/>
      <c r="F782" s="8"/>
      <c r="G782" s="8"/>
    </row>
    <row r="783">
      <c r="B783" s="8"/>
      <c r="C783" s="8"/>
      <c r="D783" s="8"/>
      <c r="E783" s="8"/>
      <c r="F783" s="8"/>
      <c r="G783" s="8"/>
    </row>
    <row r="784">
      <c r="B784" s="8"/>
      <c r="C784" s="8"/>
      <c r="D784" s="8"/>
      <c r="E784" s="8"/>
      <c r="F784" s="8"/>
      <c r="G784" s="8"/>
    </row>
    <row r="785">
      <c r="B785" s="8"/>
      <c r="C785" s="8"/>
      <c r="D785" s="8"/>
      <c r="E785" s="8"/>
      <c r="F785" s="8"/>
      <c r="G785" s="8"/>
    </row>
    <row r="786">
      <c r="B786" s="8"/>
      <c r="C786" s="8"/>
      <c r="D786" s="8"/>
      <c r="E786" s="8"/>
      <c r="F786" s="8"/>
      <c r="G786" s="8"/>
    </row>
    <row r="787">
      <c r="B787" s="8"/>
      <c r="C787" s="8"/>
      <c r="D787" s="8"/>
      <c r="E787" s="8"/>
      <c r="F787" s="8"/>
      <c r="G787" s="8"/>
    </row>
    <row r="788">
      <c r="B788" s="8"/>
      <c r="C788" s="8"/>
      <c r="D788" s="8"/>
      <c r="E788" s="8"/>
      <c r="F788" s="8"/>
      <c r="G788" s="8"/>
    </row>
    <row r="789">
      <c r="B789" s="8"/>
      <c r="C789" s="8"/>
      <c r="D789" s="8"/>
      <c r="E789" s="8"/>
      <c r="F789" s="8"/>
      <c r="G789" s="8"/>
    </row>
    <row r="790">
      <c r="B790" s="8"/>
      <c r="C790" s="8"/>
      <c r="D790" s="8"/>
      <c r="E790" s="8"/>
      <c r="F790" s="8"/>
      <c r="G790" s="8"/>
    </row>
    <row r="791">
      <c r="B791" s="8"/>
      <c r="C791" s="8"/>
      <c r="D791" s="8"/>
      <c r="E791" s="8"/>
      <c r="F791" s="8"/>
      <c r="G791" s="8"/>
    </row>
    <row r="792">
      <c r="B792" s="8"/>
      <c r="C792" s="8"/>
      <c r="D792" s="8"/>
      <c r="E792" s="8"/>
      <c r="F792" s="8"/>
      <c r="G792" s="8"/>
    </row>
    <row r="793">
      <c r="B793" s="8"/>
      <c r="C793" s="8"/>
      <c r="D793" s="8"/>
      <c r="E793" s="8"/>
      <c r="F793" s="8"/>
      <c r="G793" s="8"/>
    </row>
    <row r="794">
      <c r="B794" s="8"/>
      <c r="C794" s="8"/>
      <c r="D794" s="8"/>
      <c r="E794" s="8"/>
      <c r="F794" s="8"/>
      <c r="G794" s="8"/>
    </row>
    <row r="795">
      <c r="B795" s="8"/>
      <c r="C795" s="8"/>
      <c r="D795" s="8"/>
      <c r="E795" s="8"/>
      <c r="F795" s="8"/>
      <c r="G795" s="8"/>
    </row>
    <row r="796">
      <c r="B796" s="8"/>
      <c r="C796" s="8"/>
      <c r="D796" s="8"/>
      <c r="E796" s="8"/>
      <c r="F796" s="8"/>
      <c r="G796" s="8"/>
    </row>
    <row r="797">
      <c r="B797" s="8"/>
      <c r="C797" s="8"/>
      <c r="D797" s="8"/>
      <c r="E797" s="8"/>
      <c r="F797" s="8"/>
      <c r="G797" s="8"/>
    </row>
    <row r="798">
      <c r="B798" s="8"/>
      <c r="C798" s="8"/>
      <c r="D798" s="8"/>
      <c r="E798" s="8"/>
      <c r="F798" s="8"/>
      <c r="G798" s="8"/>
    </row>
    <row r="799">
      <c r="B799" s="8"/>
      <c r="C799" s="8"/>
      <c r="D799" s="8"/>
      <c r="E799" s="8"/>
      <c r="F799" s="8"/>
      <c r="G799" s="8"/>
    </row>
    <row r="800">
      <c r="B800" s="8"/>
      <c r="C800" s="8"/>
      <c r="D800" s="8"/>
      <c r="E800" s="8"/>
      <c r="F800" s="8"/>
      <c r="G800" s="8"/>
    </row>
    <row r="801">
      <c r="B801" s="8"/>
      <c r="C801" s="8"/>
      <c r="D801" s="8"/>
      <c r="E801" s="8"/>
      <c r="F801" s="8"/>
      <c r="G801" s="8"/>
    </row>
    <row r="802">
      <c r="B802" s="8"/>
      <c r="C802" s="8"/>
      <c r="D802" s="8"/>
      <c r="E802" s="8"/>
      <c r="F802" s="8"/>
      <c r="G802" s="8"/>
    </row>
    <row r="803">
      <c r="B803" s="8"/>
      <c r="C803" s="8"/>
      <c r="D803" s="8"/>
      <c r="E803" s="8"/>
      <c r="F803" s="8"/>
      <c r="G803" s="8"/>
    </row>
    <row r="804">
      <c r="B804" s="8"/>
      <c r="C804" s="8"/>
      <c r="D804" s="8"/>
      <c r="E804" s="8"/>
      <c r="F804" s="8"/>
      <c r="G804" s="8"/>
    </row>
    <row r="805">
      <c r="B805" s="8"/>
      <c r="C805" s="8"/>
      <c r="D805" s="8"/>
      <c r="E805" s="8"/>
      <c r="F805" s="8"/>
      <c r="G805" s="8"/>
    </row>
    <row r="806">
      <c r="B806" s="8"/>
      <c r="C806" s="8"/>
      <c r="D806" s="8"/>
      <c r="E806" s="8"/>
      <c r="F806" s="8"/>
      <c r="G806" s="8"/>
    </row>
    <row r="807">
      <c r="B807" s="8"/>
      <c r="C807" s="8"/>
      <c r="D807" s="8"/>
      <c r="E807" s="8"/>
      <c r="F807" s="8"/>
      <c r="G807" s="8"/>
    </row>
    <row r="808">
      <c r="B808" s="8"/>
      <c r="C808" s="8"/>
      <c r="D808" s="8"/>
      <c r="E808" s="8"/>
      <c r="F808" s="8"/>
      <c r="G808" s="8"/>
    </row>
    <row r="809">
      <c r="B809" s="8"/>
      <c r="C809" s="8"/>
      <c r="D809" s="8"/>
      <c r="E809" s="8"/>
      <c r="F809" s="8"/>
      <c r="G809" s="8"/>
    </row>
    <row r="810">
      <c r="B810" s="8"/>
      <c r="C810" s="8"/>
      <c r="D810" s="8"/>
      <c r="E810" s="8"/>
      <c r="F810" s="8"/>
      <c r="G810" s="8"/>
    </row>
    <row r="811">
      <c r="B811" s="8"/>
      <c r="C811" s="8"/>
      <c r="D811" s="8"/>
      <c r="E811" s="8"/>
      <c r="F811" s="8"/>
      <c r="G811" s="8"/>
    </row>
    <row r="812">
      <c r="B812" s="8"/>
      <c r="C812" s="8"/>
      <c r="D812" s="8"/>
      <c r="E812" s="8"/>
      <c r="F812" s="8"/>
      <c r="G812" s="8"/>
    </row>
    <row r="813">
      <c r="B813" s="8"/>
      <c r="C813" s="8"/>
      <c r="D813" s="8"/>
      <c r="E813" s="8"/>
      <c r="F813" s="8"/>
      <c r="G813" s="8"/>
    </row>
    <row r="814">
      <c r="B814" s="8"/>
      <c r="C814" s="8"/>
      <c r="D814" s="8"/>
      <c r="E814" s="8"/>
      <c r="F814" s="8"/>
      <c r="G814" s="8"/>
    </row>
    <row r="815">
      <c r="B815" s="8"/>
      <c r="C815" s="8"/>
      <c r="D815" s="8"/>
      <c r="E815" s="8"/>
      <c r="F815" s="8"/>
      <c r="G815" s="8"/>
    </row>
    <row r="816">
      <c r="B816" s="8"/>
      <c r="C816" s="8"/>
      <c r="D816" s="8"/>
      <c r="E816" s="8"/>
      <c r="F816" s="8"/>
      <c r="G816" s="8"/>
    </row>
    <row r="817">
      <c r="B817" s="8"/>
      <c r="C817" s="8"/>
      <c r="D817" s="8"/>
      <c r="E817" s="8"/>
      <c r="F817" s="8"/>
      <c r="G817" s="8"/>
    </row>
    <row r="818">
      <c r="B818" s="8"/>
      <c r="C818" s="8"/>
      <c r="D818" s="8"/>
      <c r="E818" s="8"/>
      <c r="F818" s="8"/>
      <c r="G818" s="8"/>
    </row>
    <row r="819">
      <c r="B819" s="8"/>
      <c r="C819" s="8"/>
      <c r="D819" s="8"/>
      <c r="E819" s="8"/>
      <c r="F819" s="8"/>
      <c r="G819" s="8"/>
    </row>
    <row r="820">
      <c r="B820" s="8"/>
      <c r="C820" s="8"/>
      <c r="D820" s="8"/>
      <c r="E820" s="8"/>
      <c r="F820" s="8"/>
      <c r="G820" s="8"/>
    </row>
    <row r="821">
      <c r="B821" s="8"/>
      <c r="C821" s="8"/>
      <c r="D821" s="8"/>
      <c r="E821" s="8"/>
      <c r="F821" s="8"/>
      <c r="G821" s="8"/>
    </row>
    <row r="822">
      <c r="B822" s="8"/>
      <c r="C822" s="8"/>
      <c r="D822" s="8"/>
      <c r="E822" s="8"/>
      <c r="F822" s="8"/>
      <c r="G822" s="8"/>
    </row>
    <row r="823">
      <c r="B823" s="8"/>
      <c r="C823" s="8"/>
      <c r="D823" s="8"/>
      <c r="E823" s="8"/>
      <c r="F823" s="8"/>
      <c r="G823" s="8"/>
    </row>
    <row r="824">
      <c r="B824" s="8"/>
      <c r="C824" s="8"/>
      <c r="D824" s="8"/>
      <c r="E824" s="8"/>
      <c r="F824" s="8"/>
      <c r="G824" s="8"/>
    </row>
    <row r="825">
      <c r="B825" s="8"/>
      <c r="C825" s="8"/>
      <c r="D825" s="8"/>
      <c r="E825" s="8"/>
      <c r="F825" s="8"/>
      <c r="G825" s="8"/>
    </row>
    <row r="826">
      <c r="B826" s="8"/>
      <c r="C826" s="8"/>
      <c r="D826" s="8"/>
      <c r="E826" s="8"/>
      <c r="F826" s="8"/>
      <c r="G826" s="8"/>
    </row>
    <row r="827">
      <c r="B827" s="8"/>
      <c r="C827" s="8"/>
      <c r="D827" s="8"/>
      <c r="E827" s="8"/>
      <c r="F827" s="8"/>
      <c r="G827" s="8"/>
    </row>
    <row r="828">
      <c r="B828" s="8"/>
      <c r="C828" s="8"/>
      <c r="D828" s="8"/>
      <c r="E828" s="8"/>
      <c r="F828" s="8"/>
      <c r="G828" s="8"/>
    </row>
    <row r="829">
      <c r="B829" s="8"/>
      <c r="C829" s="8"/>
      <c r="D829" s="8"/>
      <c r="E829" s="8"/>
      <c r="F829" s="8"/>
      <c r="G829" s="8"/>
    </row>
    <row r="830">
      <c r="B830" s="8"/>
      <c r="C830" s="8"/>
      <c r="D830" s="8"/>
      <c r="E830" s="8"/>
      <c r="F830" s="8"/>
      <c r="G830" s="8"/>
    </row>
    <row r="831">
      <c r="B831" s="8"/>
      <c r="C831" s="8"/>
      <c r="D831" s="8"/>
      <c r="E831" s="8"/>
      <c r="F831" s="8"/>
      <c r="G831" s="8"/>
    </row>
    <row r="832">
      <c r="B832" s="8"/>
      <c r="C832" s="8"/>
      <c r="D832" s="8"/>
      <c r="E832" s="8"/>
      <c r="F832" s="8"/>
      <c r="G832" s="8"/>
    </row>
    <row r="833">
      <c r="B833" s="8"/>
      <c r="C833" s="8"/>
      <c r="D833" s="8"/>
      <c r="E833" s="8"/>
      <c r="F833" s="8"/>
      <c r="G833" s="8"/>
    </row>
    <row r="834">
      <c r="B834" s="8"/>
      <c r="C834" s="8"/>
      <c r="D834" s="8"/>
      <c r="E834" s="8"/>
      <c r="F834" s="8"/>
      <c r="G834" s="8"/>
    </row>
    <row r="835">
      <c r="B835" s="8"/>
      <c r="C835" s="8"/>
      <c r="D835" s="8"/>
      <c r="E835" s="8"/>
      <c r="F835" s="8"/>
      <c r="G835" s="8"/>
    </row>
    <row r="836">
      <c r="B836" s="8"/>
      <c r="C836" s="8"/>
      <c r="D836" s="8"/>
      <c r="E836" s="8"/>
      <c r="F836" s="8"/>
      <c r="G836" s="8"/>
    </row>
    <row r="837">
      <c r="B837" s="8"/>
      <c r="C837" s="8"/>
      <c r="D837" s="8"/>
      <c r="E837" s="8"/>
      <c r="F837" s="8"/>
      <c r="G837" s="8"/>
    </row>
    <row r="838">
      <c r="B838" s="8"/>
      <c r="C838" s="8"/>
      <c r="D838" s="8"/>
      <c r="E838" s="8"/>
      <c r="F838" s="8"/>
      <c r="G838" s="8"/>
    </row>
    <row r="839">
      <c r="B839" s="8"/>
      <c r="C839" s="8"/>
      <c r="D839" s="8"/>
      <c r="E839" s="8"/>
      <c r="F839" s="8"/>
      <c r="G839" s="8"/>
    </row>
    <row r="840">
      <c r="B840" s="8"/>
      <c r="C840" s="8"/>
      <c r="D840" s="8"/>
      <c r="E840" s="8"/>
      <c r="F840" s="8"/>
      <c r="G840" s="8"/>
    </row>
    <row r="841">
      <c r="B841" s="8"/>
      <c r="C841" s="8"/>
      <c r="D841" s="8"/>
      <c r="E841" s="8"/>
      <c r="F841" s="8"/>
      <c r="G841" s="8"/>
    </row>
    <row r="842">
      <c r="B842" s="8"/>
      <c r="C842" s="8"/>
      <c r="D842" s="8"/>
      <c r="E842" s="8"/>
      <c r="F842" s="8"/>
      <c r="G842" s="8"/>
    </row>
    <row r="843">
      <c r="B843" s="8"/>
      <c r="C843" s="8"/>
      <c r="D843" s="8"/>
      <c r="E843" s="8"/>
      <c r="F843" s="8"/>
      <c r="G843" s="8"/>
    </row>
    <row r="844">
      <c r="B844" s="8"/>
      <c r="C844" s="8"/>
      <c r="D844" s="8"/>
      <c r="E844" s="8"/>
      <c r="F844" s="8"/>
      <c r="G844" s="8"/>
    </row>
    <row r="845">
      <c r="B845" s="8"/>
      <c r="C845" s="8"/>
      <c r="D845" s="8"/>
      <c r="E845" s="8"/>
      <c r="F845" s="8"/>
      <c r="G845" s="8"/>
    </row>
    <row r="846">
      <c r="B846" s="8"/>
      <c r="C846" s="8"/>
      <c r="D846" s="8"/>
      <c r="E846" s="8"/>
      <c r="F846" s="8"/>
      <c r="G846" s="8"/>
    </row>
    <row r="847">
      <c r="B847" s="8"/>
      <c r="C847" s="8"/>
      <c r="D847" s="8"/>
      <c r="E847" s="8"/>
      <c r="F847" s="8"/>
      <c r="G847" s="8"/>
    </row>
    <row r="848">
      <c r="B848" s="8"/>
      <c r="C848" s="8"/>
      <c r="D848" s="8"/>
      <c r="E848" s="8"/>
      <c r="F848" s="8"/>
      <c r="G848" s="8"/>
    </row>
    <row r="849">
      <c r="B849" s="8"/>
      <c r="C849" s="8"/>
      <c r="D849" s="8"/>
      <c r="E849" s="8"/>
      <c r="F849" s="8"/>
      <c r="G849" s="8"/>
    </row>
    <row r="850">
      <c r="B850" s="8"/>
      <c r="C850" s="8"/>
      <c r="D850" s="8"/>
      <c r="E850" s="8"/>
      <c r="F850" s="8"/>
      <c r="G850" s="8"/>
    </row>
    <row r="851">
      <c r="B851" s="8"/>
      <c r="C851" s="8"/>
      <c r="D851" s="8"/>
      <c r="E851" s="8"/>
      <c r="F851" s="8"/>
      <c r="G851" s="8"/>
    </row>
    <row r="852">
      <c r="B852" s="8"/>
      <c r="C852" s="8"/>
      <c r="D852" s="8"/>
      <c r="E852" s="8"/>
      <c r="F852" s="8"/>
      <c r="G852" s="8"/>
    </row>
    <row r="853">
      <c r="B853" s="8"/>
      <c r="C853" s="8"/>
      <c r="D853" s="8"/>
      <c r="E853" s="8"/>
      <c r="F853" s="8"/>
      <c r="G853" s="8"/>
    </row>
    <row r="854">
      <c r="B854" s="8"/>
      <c r="C854" s="8"/>
      <c r="D854" s="8"/>
      <c r="E854" s="8"/>
      <c r="F854" s="8"/>
      <c r="G854" s="8"/>
    </row>
    <row r="855">
      <c r="B855" s="8"/>
      <c r="C855" s="8"/>
      <c r="D855" s="8"/>
      <c r="E855" s="8"/>
      <c r="F855" s="8"/>
      <c r="G855" s="8"/>
    </row>
    <row r="856">
      <c r="B856" s="8"/>
      <c r="C856" s="8"/>
      <c r="D856" s="8"/>
      <c r="E856" s="8"/>
      <c r="F856" s="8"/>
      <c r="G856" s="8"/>
    </row>
    <row r="857">
      <c r="B857" s="8"/>
      <c r="C857" s="8"/>
      <c r="D857" s="8"/>
      <c r="E857" s="8"/>
      <c r="F857" s="8"/>
      <c r="G857" s="8"/>
    </row>
    <row r="858">
      <c r="B858" s="8"/>
      <c r="C858" s="8"/>
      <c r="D858" s="8"/>
      <c r="E858" s="8"/>
      <c r="F858" s="8"/>
      <c r="G858" s="8"/>
    </row>
    <row r="859">
      <c r="B859" s="8"/>
      <c r="C859" s="8"/>
      <c r="D859" s="8"/>
      <c r="E859" s="8"/>
      <c r="F859" s="8"/>
      <c r="G859" s="8"/>
    </row>
    <row r="860">
      <c r="B860" s="8"/>
      <c r="C860" s="8"/>
      <c r="D860" s="8"/>
      <c r="E860" s="8"/>
      <c r="F860" s="8"/>
      <c r="G860" s="8"/>
    </row>
    <row r="861">
      <c r="B861" s="8"/>
      <c r="C861" s="8"/>
      <c r="D861" s="8"/>
      <c r="E861" s="8"/>
      <c r="F861" s="8"/>
      <c r="G861" s="8"/>
    </row>
    <row r="862">
      <c r="B862" s="8"/>
      <c r="C862" s="8"/>
      <c r="D862" s="8"/>
      <c r="E862" s="8"/>
      <c r="F862" s="8"/>
      <c r="G862" s="8"/>
    </row>
    <row r="863">
      <c r="B863" s="8"/>
      <c r="C863" s="8"/>
      <c r="D863" s="8"/>
      <c r="E863" s="8"/>
      <c r="F863" s="8"/>
      <c r="G863" s="8"/>
    </row>
    <row r="864">
      <c r="B864" s="8"/>
      <c r="C864" s="8"/>
      <c r="D864" s="8"/>
      <c r="E864" s="8"/>
      <c r="F864" s="8"/>
      <c r="G864" s="8"/>
    </row>
    <row r="865">
      <c r="B865" s="8"/>
      <c r="C865" s="8"/>
      <c r="D865" s="8"/>
      <c r="E865" s="8"/>
      <c r="F865" s="8"/>
      <c r="G865" s="8"/>
    </row>
    <row r="866">
      <c r="B866" s="8"/>
      <c r="C866" s="8"/>
      <c r="D866" s="8"/>
      <c r="E866" s="8"/>
      <c r="F866" s="8"/>
      <c r="G866" s="8"/>
    </row>
    <row r="867">
      <c r="B867" s="8"/>
      <c r="C867" s="8"/>
      <c r="D867" s="8"/>
      <c r="E867" s="8"/>
      <c r="F867" s="8"/>
      <c r="G867" s="8"/>
    </row>
    <row r="868">
      <c r="B868" s="8"/>
      <c r="C868" s="8"/>
      <c r="D868" s="8"/>
      <c r="E868" s="8"/>
      <c r="F868" s="8"/>
      <c r="G868" s="8"/>
    </row>
    <row r="869">
      <c r="B869" s="8"/>
      <c r="C869" s="8"/>
      <c r="D869" s="8"/>
      <c r="E869" s="8"/>
      <c r="F869" s="8"/>
      <c r="G869" s="8"/>
    </row>
    <row r="870">
      <c r="B870" s="8"/>
      <c r="C870" s="8"/>
      <c r="D870" s="8"/>
      <c r="E870" s="8"/>
      <c r="F870" s="8"/>
      <c r="G870" s="8"/>
    </row>
    <row r="871">
      <c r="B871" s="8"/>
      <c r="C871" s="8"/>
      <c r="D871" s="8"/>
      <c r="E871" s="8"/>
      <c r="F871" s="8"/>
      <c r="G871" s="8"/>
    </row>
    <row r="872">
      <c r="B872" s="8"/>
      <c r="C872" s="8"/>
      <c r="D872" s="8"/>
      <c r="E872" s="8"/>
      <c r="F872" s="8"/>
      <c r="G872" s="8"/>
    </row>
    <row r="873">
      <c r="B873" s="8"/>
      <c r="C873" s="8"/>
      <c r="D873" s="8"/>
      <c r="E873" s="8"/>
      <c r="F873" s="8"/>
      <c r="G873" s="8"/>
    </row>
    <row r="874">
      <c r="B874" s="8"/>
      <c r="C874" s="8"/>
      <c r="D874" s="8"/>
      <c r="E874" s="8"/>
      <c r="F874" s="8"/>
      <c r="G874" s="8"/>
    </row>
    <row r="875">
      <c r="B875" s="8"/>
      <c r="C875" s="8"/>
      <c r="D875" s="8"/>
      <c r="E875" s="8"/>
      <c r="F875" s="8"/>
      <c r="G875" s="8"/>
    </row>
    <row r="876">
      <c r="B876" s="8"/>
      <c r="C876" s="8"/>
      <c r="D876" s="8"/>
      <c r="E876" s="8"/>
      <c r="F876" s="8"/>
      <c r="G876" s="8"/>
    </row>
    <row r="877">
      <c r="B877" s="8"/>
      <c r="C877" s="8"/>
      <c r="D877" s="8"/>
      <c r="E877" s="8"/>
      <c r="F877" s="8"/>
      <c r="G877" s="8"/>
    </row>
    <row r="878">
      <c r="B878" s="8"/>
      <c r="C878" s="8"/>
      <c r="D878" s="8"/>
      <c r="E878" s="8"/>
      <c r="F878" s="8"/>
      <c r="G878" s="8"/>
    </row>
    <row r="879">
      <c r="B879" s="8"/>
      <c r="C879" s="8"/>
      <c r="D879" s="8"/>
      <c r="E879" s="8"/>
      <c r="F879" s="8"/>
      <c r="G879" s="8"/>
    </row>
    <row r="880">
      <c r="B880" s="8"/>
      <c r="C880" s="8"/>
      <c r="D880" s="8"/>
      <c r="E880" s="8"/>
      <c r="F880" s="8"/>
      <c r="G880" s="8"/>
    </row>
    <row r="881">
      <c r="B881" s="8"/>
      <c r="C881" s="8"/>
      <c r="D881" s="8"/>
      <c r="E881" s="8"/>
      <c r="F881" s="8"/>
      <c r="G881" s="8"/>
    </row>
    <row r="882">
      <c r="B882" s="8"/>
      <c r="C882" s="8"/>
      <c r="D882" s="8"/>
      <c r="E882" s="8"/>
      <c r="F882" s="8"/>
      <c r="G882" s="8"/>
    </row>
    <row r="883">
      <c r="B883" s="8"/>
      <c r="C883" s="8"/>
      <c r="D883" s="8"/>
      <c r="E883" s="8"/>
      <c r="F883" s="8"/>
      <c r="G883" s="8"/>
    </row>
    <row r="884">
      <c r="B884" s="8"/>
      <c r="C884" s="8"/>
      <c r="D884" s="8"/>
      <c r="E884" s="8"/>
      <c r="F884" s="8"/>
      <c r="G884" s="8"/>
    </row>
    <row r="885">
      <c r="B885" s="8"/>
      <c r="C885" s="8"/>
      <c r="D885" s="8"/>
      <c r="E885" s="8"/>
      <c r="F885" s="8"/>
      <c r="G885" s="8"/>
    </row>
    <row r="886">
      <c r="B886" s="8"/>
      <c r="C886" s="8"/>
      <c r="D886" s="8"/>
      <c r="E886" s="8"/>
      <c r="F886" s="8"/>
      <c r="G886" s="8"/>
    </row>
    <row r="887">
      <c r="B887" s="8"/>
      <c r="C887" s="8"/>
      <c r="D887" s="8"/>
      <c r="E887" s="8"/>
      <c r="F887" s="8"/>
      <c r="G887" s="8"/>
    </row>
    <row r="888">
      <c r="B888" s="8"/>
      <c r="C888" s="8"/>
      <c r="D888" s="8"/>
      <c r="E888" s="8"/>
      <c r="F888" s="8"/>
      <c r="G888" s="8"/>
    </row>
    <row r="889">
      <c r="B889" s="8"/>
      <c r="C889" s="8"/>
      <c r="D889" s="8"/>
      <c r="E889" s="8"/>
      <c r="F889" s="8"/>
      <c r="G889" s="8"/>
    </row>
    <row r="890">
      <c r="B890" s="8"/>
      <c r="C890" s="8"/>
      <c r="D890" s="8"/>
      <c r="E890" s="8"/>
      <c r="F890" s="8"/>
      <c r="G890" s="8"/>
    </row>
    <row r="891">
      <c r="B891" s="8"/>
      <c r="C891" s="8"/>
      <c r="D891" s="8"/>
      <c r="E891" s="8"/>
      <c r="F891" s="8"/>
      <c r="G891" s="8"/>
    </row>
    <row r="892">
      <c r="B892" s="8"/>
      <c r="C892" s="8"/>
      <c r="D892" s="8"/>
      <c r="E892" s="8"/>
      <c r="F892" s="8"/>
      <c r="G892" s="8"/>
    </row>
    <row r="893">
      <c r="B893" s="8"/>
      <c r="C893" s="8"/>
      <c r="D893" s="8"/>
      <c r="E893" s="8"/>
      <c r="F893" s="8"/>
      <c r="G893" s="8"/>
    </row>
    <row r="894">
      <c r="B894" s="8"/>
      <c r="C894" s="8"/>
      <c r="D894" s="8"/>
      <c r="E894" s="8"/>
      <c r="F894" s="8"/>
      <c r="G894" s="8"/>
    </row>
    <row r="895">
      <c r="B895" s="8"/>
      <c r="C895" s="8"/>
      <c r="D895" s="8"/>
      <c r="E895" s="8"/>
      <c r="F895" s="8"/>
      <c r="G895" s="8"/>
    </row>
    <row r="896">
      <c r="B896" s="8"/>
      <c r="C896" s="8"/>
      <c r="D896" s="8"/>
      <c r="E896" s="8"/>
      <c r="F896" s="8"/>
      <c r="G896" s="8"/>
    </row>
    <row r="897">
      <c r="B897" s="8"/>
      <c r="C897" s="8"/>
      <c r="D897" s="8"/>
      <c r="E897" s="8"/>
      <c r="F897" s="8"/>
      <c r="G897" s="8"/>
    </row>
    <row r="898">
      <c r="B898" s="8"/>
      <c r="C898" s="8"/>
      <c r="D898" s="8"/>
      <c r="E898" s="8"/>
      <c r="F898" s="8"/>
      <c r="G898" s="8"/>
    </row>
    <row r="899">
      <c r="B899" s="8"/>
      <c r="C899" s="8"/>
      <c r="D899" s="8"/>
      <c r="E899" s="8"/>
      <c r="F899" s="8"/>
      <c r="G899" s="8"/>
    </row>
    <row r="900">
      <c r="B900" s="8"/>
      <c r="C900" s="8"/>
      <c r="D900" s="8"/>
      <c r="E900" s="8"/>
      <c r="F900" s="8"/>
      <c r="G900" s="8"/>
    </row>
    <row r="901">
      <c r="B901" s="8"/>
      <c r="C901" s="8"/>
      <c r="D901" s="8"/>
      <c r="E901" s="8"/>
      <c r="F901" s="8"/>
      <c r="G901" s="8"/>
    </row>
    <row r="902">
      <c r="B902" s="8"/>
      <c r="C902" s="8"/>
      <c r="D902" s="8"/>
      <c r="E902" s="8"/>
      <c r="F902" s="8"/>
      <c r="G902" s="8"/>
    </row>
    <row r="903">
      <c r="B903" s="8"/>
      <c r="C903" s="8"/>
      <c r="D903" s="8"/>
      <c r="E903" s="8"/>
      <c r="F903" s="8"/>
      <c r="G903" s="8"/>
    </row>
    <row r="904">
      <c r="B904" s="8"/>
      <c r="C904" s="8"/>
      <c r="D904" s="8"/>
      <c r="E904" s="8"/>
      <c r="F904" s="8"/>
      <c r="G904" s="8"/>
    </row>
    <row r="905">
      <c r="B905" s="8"/>
      <c r="C905" s="8"/>
      <c r="D905" s="8"/>
      <c r="E905" s="8"/>
      <c r="F905" s="8"/>
      <c r="G905" s="8"/>
    </row>
    <row r="906">
      <c r="B906" s="8"/>
      <c r="C906" s="8"/>
      <c r="D906" s="8"/>
      <c r="E906" s="8"/>
      <c r="F906" s="8"/>
      <c r="G906" s="8"/>
    </row>
    <row r="907">
      <c r="B907" s="8"/>
      <c r="C907" s="8"/>
      <c r="D907" s="8"/>
      <c r="E907" s="8"/>
      <c r="F907" s="8"/>
      <c r="G907" s="8"/>
    </row>
    <row r="908">
      <c r="B908" s="8"/>
      <c r="C908" s="8"/>
      <c r="D908" s="8"/>
      <c r="E908" s="8"/>
      <c r="F908" s="8"/>
      <c r="G908" s="8"/>
    </row>
    <row r="909">
      <c r="B909" s="8"/>
      <c r="C909" s="8"/>
      <c r="D909" s="8"/>
      <c r="E909" s="8"/>
      <c r="F909" s="8"/>
      <c r="G909" s="8"/>
    </row>
    <row r="910">
      <c r="B910" s="8"/>
      <c r="C910" s="8"/>
      <c r="D910" s="8"/>
      <c r="E910" s="8"/>
      <c r="F910" s="8"/>
      <c r="G910" s="8"/>
    </row>
    <row r="911">
      <c r="B911" s="8"/>
      <c r="C911" s="8"/>
      <c r="D911" s="8"/>
      <c r="E911" s="8"/>
      <c r="F911" s="8"/>
      <c r="G911" s="8"/>
    </row>
    <row r="912">
      <c r="B912" s="8"/>
      <c r="C912" s="8"/>
      <c r="D912" s="8"/>
      <c r="E912" s="8"/>
      <c r="F912" s="8"/>
      <c r="G912" s="8"/>
    </row>
    <row r="913">
      <c r="B913" s="8"/>
      <c r="C913" s="8"/>
      <c r="D913" s="8"/>
      <c r="E913" s="8"/>
      <c r="F913" s="8"/>
      <c r="G913" s="8"/>
    </row>
    <row r="914">
      <c r="B914" s="8"/>
      <c r="C914" s="8"/>
      <c r="D914" s="8"/>
      <c r="E914" s="8"/>
      <c r="F914" s="8"/>
      <c r="G914" s="8"/>
    </row>
    <row r="915">
      <c r="B915" s="8"/>
      <c r="C915" s="8"/>
      <c r="D915" s="8"/>
      <c r="E915" s="8"/>
      <c r="F915" s="8"/>
      <c r="G915" s="8"/>
    </row>
    <row r="916">
      <c r="B916" s="8"/>
      <c r="C916" s="8"/>
      <c r="D916" s="8"/>
      <c r="E916" s="8"/>
      <c r="F916" s="8"/>
      <c r="G916" s="8"/>
    </row>
    <row r="917">
      <c r="B917" s="8"/>
      <c r="C917" s="8"/>
      <c r="D917" s="8"/>
      <c r="E917" s="8"/>
      <c r="F917" s="8"/>
      <c r="G917" s="8"/>
    </row>
    <row r="918">
      <c r="B918" s="8"/>
      <c r="C918" s="8"/>
      <c r="D918" s="8"/>
      <c r="E918" s="8"/>
      <c r="F918" s="8"/>
      <c r="G918" s="8"/>
    </row>
    <row r="919">
      <c r="B919" s="8"/>
      <c r="C919" s="8"/>
      <c r="D919" s="8"/>
      <c r="E919" s="8"/>
      <c r="F919" s="8"/>
      <c r="G919" s="8"/>
    </row>
    <row r="920">
      <c r="B920" s="8"/>
      <c r="C920" s="8"/>
      <c r="D920" s="8"/>
      <c r="E920" s="8"/>
      <c r="F920" s="8"/>
      <c r="G920" s="8"/>
    </row>
    <row r="921">
      <c r="B921" s="8"/>
      <c r="C921" s="8"/>
      <c r="D921" s="8"/>
      <c r="E921" s="8"/>
      <c r="F921" s="8"/>
      <c r="G921" s="8"/>
    </row>
    <row r="922">
      <c r="B922" s="8"/>
      <c r="C922" s="8"/>
      <c r="D922" s="8"/>
      <c r="E922" s="8"/>
      <c r="F922" s="8"/>
      <c r="G922" s="8"/>
    </row>
    <row r="923">
      <c r="B923" s="8"/>
      <c r="C923" s="8"/>
      <c r="D923" s="8"/>
      <c r="E923" s="8"/>
      <c r="F923" s="8"/>
      <c r="G923" s="8"/>
    </row>
    <row r="924">
      <c r="B924" s="8"/>
      <c r="C924" s="8"/>
      <c r="D924" s="8"/>
      <c r="E924" s="8"/>
      <c r="F924" s="8"/>
      <c r="G924" s="8"/>
    </row>
    <row r="925">
      <c r="B925" s="8"/>
      <c r="C925" s="8"/>
      <c r="D925" s="8"/>
      <c r="E925" s="8"/>
      <c r="F925" s="8"/>
      <c r="G925" s="8"/>
    </row>
    <row r="926">
      <c r="B926" s="8"/>
      <c r="C926" s="8"/>
      <c r="D926" s="8"/>
      <c r="E926" s="8"/>
      <c r="F926" s="8"/>
      <c r="G926" s="8"/>
    </row>
    <row r="927">
      <c r="B927" s="8"/>
      <c r="C927" s="8"/>
      <c r="D927" s="8"/>
      <c r="E927" s="8"/>
      <c r="F927" s="8"/>
      <c r="G927" s="8"/>
    </row>
    <row r="928">
      <c r="B928" s="8"/>
      <c r="C928" s="8"/>
      <c r="D928" s="8"/>
      <c r="E928" s="8"/>
      <c r="F928" s="8"/>
      <c r="G928" s="8"/>
    </row>
    <row r="929">
      <c r="B929" s="8"/>
      <c r="C929" s="8"/>
      <c r="D929" s="8"/>
      <c r="E929" s="8"/>
      <c r="F929" s="8"/>
      <c r="G929" s="8"/>
    </row>
    <row r="930">
      <c r="B930" s="8"/>
      <c r="C930" s="8"/>
      <c r="D930" s="8"/>
      <c r="E930" s="8"/>
      <c r="F930" s="8"/>
      <c r="G930" s="8"/>
    </row>
    <row r="931">
      <c r="B931" s="8"/>
      <c r="C931" s="8"/>
      <c r="D931" s="8"/>
      <c r="E931" s="8"/>
      <c r="F931" s="8"/>
      <c r="G931" s="8"/>
    </row>
    <row r="932">
      <c r="B932" s="8"/>
      <c r="C932" s="8"/>
      <c r="D932" s="8"/>
      <c r="E932" s="8"/>
      <c r="F932" s="8"/>
      <c r="G932" s="8"/>
    </row>
    <row r="933">
      <c r="B933" s="8"/>
      <c r="C933" s="8"/>
      <c r="D933" s="8"/>
      <c r="E933" s="8"/>
      <c r="F933" s="8"/>
      <c r="G933" s="8"/>
    </row>
    <row r="934">
      <c r="B934" s="8"/>
      <c r="C934" s="8"/>
      <c r="D934" s="8"/>
      <c r="E934" s="8"/>
      <c r="F934" s="8"/>
      <c r="G934" s="8"/>
    </row>
    <row r="935">
      <c r="B935" s="8"/>
      <c r="C935" s="8"/>
      <c r="D935" s="8"/>
      <c r="E935" s="8"/>
      <c r="F935" s="8"/>
      <c r="G935" s="8"/>
    </row>
    <row r="936">
      <c r="B936" s="8"/>
      <c r="C936" s="8"/>
      <c r="D936" s="8"/>
      <c r="E936" s="8"/>
      <c r="F936" s="8"/>
      <c r="G936" s="8"/>
    </row>
    <row r="937">
      <c r="B937" s="8"/>
      <c r="C937" s="8"/>
      <c r="D937" s="8"/>
      <c r="E937" s="8"/>
      <c r="F937" s="8"/>
      <c r="G937" s="8"/>
    </row>
    <row r="938">
      <c r="B938" s="8"/>
      <c r="C938" s="8"/>
      <c r="D938" s="8"/>
      <c r="E938" s="8"/>
      <c r="F938" s="8"/>
      <c r="G938" s="8"/>
    </row>
    <row r="939">
      <c r="B939" s="8"/>
      <c r="C939" s="8"/>
      <c r="D939" s="8"/>
      <c r="E939" s="8"/>
      <c r="F939" s="8"/>
      <c r="G939" s="8"/>
    </row>
    <row r="940">
      <c r="B940" s="8"/>
      <c r="C940" s="8"/>
      <c r="D940" s="8"/>
      <c r="E940" s="8"/>
      <c r="F940" s="8"/>
      <c r="G940" s="8"/>
    </row>
    <row r="941">
      <c r="B941" s="8"/>
      <c r="C941" s="8"/>
      <c r="D941" s="8"/>
      <c r="E941" s="8"/>
      <c r="F941" s="8"/>
      <c r="G941" s="8"/>
    </row>
    <row r="942">
      <c r="B942" s="8"/>
      <c r="C942" s="8"/>
      <c r="D942" s="8"/>
      <c r="E942" s="8"/>
      <c r="F942" s="8"/>
      <c r="G942" s="8"/>
    </row>
    <row r="943">
      <c r="B943" s="8"/>
      <c r="C943" s="8"/>
      <c r="D943" s="8"/>
      <c r="E943" s="8"/>
      <c r="F943" s="8"/>
      <c r="G943" s="8"/>
    </row>
    <row r="944">
      <c r="B944" s="8"/>
      <c r="C944" s="8"/>
      <c r="D944" s="8"/>
      <c r="E944" s="8"/>
      <c r="F944" s="8"/>
      <c r="G944" s="8"/>
    </row>
    <row r="945">
      <c r="B945" s="8"/>
      <c r="C945" s="8"/>
      <c r="D945" s="8"/>
      <c r="E945" s="8"/>
      <c r="F945" s="8"/>
      <c r="G945" s="8"/>
    </row>
    <row r="946">
      <c r="B946" s="8"/>
      <c r="C946" s="8"/>
      <c r="D946" s="8"/>
      <c r="E946" s="8"/>
      <c r="F946" s="8"/>
      <c r="G946" s="8"/>
    </row>
    <row r="947">
      <c r="B947" s="8"/>
      <c r="C947" s="8"/>
      <c r="D947" s="8"/>
      <c r="E947" s="8"/>
      <c r="F947" s="8"/>
      <c r="G947" s="8"/>
    </row>
    <row r="948">
      <c r="B948" s="8"/>
      <c r="C948" s="8"/>
      <c r="D948" s="8"/>
      <c r="E948" s="8"/>
      <c r="F948" s="8"/>
      <c r="G948" s="8"/>
    </row>
    <row r="949">
      <c r="B949" s="8"/>
      <c r="C949" s="8"/>
      <c r="D949" s="8"/>
      <c r="E949" s="8"/>
      <c r="F949" s="8"/>
      <c r="G949" s="8"/>
    </row>
    <row r="950">
      <c r="B950" s="8"/>
      <c r="C950" s="8"/>
      <c r="D950" s="8"/>
      <c r="E950" s="8"/>
      <c r="F950" s="8"/>
      <c r="G950" s="8"/>
    </row>
    <row r="951">
      <c r="B951" s="8"/>
      <c r="C951" s="8"/>
      <c r="D951" s="8"/>
      <c r="E951" s="8"/>
      <c r="F951" s="8"/>
      <c r="G951" s="8"/>
    </row>
    <row r="952">
      <c r="B952" s="8"/>
      <c r="C952" s="8"/>
      <c r="D952" s="8"/>
      <c r="E952" s="8"/>
      <c r="F952" s="8"/>
      <c r="G952" s="8"/>
    </row>
    <row r="953">
      <c r="B953" s="8"/>
      <c r="C953" s="8"/>
      <c r="D953" s="8"/>
      <c r="E953" s="8"/>
      <c r="F953" s="8"/>
      <c r="G953" s="8"/>
    </row>
    <row r="954">
      <c r="B954" s="8"/>
      <c r="C954" s="8"/>
      <c r="D954" s="8"/>
      <c r="E954" s="8"/>
      <c r="F954" s="8"/>
      <c r="G954" s="8"/>
    </row>
    <row r="955">
      <c r="B955" s="8"/>
      <c r="C955" s="8"/>
      <c r="D955" s="8"/>
      <c r="E955" s="8"/>
      <c r="F955" s="8"/>
      <c r="G955" s="8"/>
    </row>
    <row r="956">
      <c r="B956" s="8"/>
      <c r="C956" s="8"/>
      <c r="D956" s="8"/>
      <c r="E956" s="8"/>
      <c r="F956" s="8"/>
      <c r="G956" s="8"/>
    </row>
    <row r="957">
      <c r="B957" s="8"/>
      <c r="C957" s="8"/>
      <c r="D957" s="8"/>
      <c r="E957" s="8"/>
      <c r="F957" s="8"/>
      <c r="G957" s="8"/>
    </row>
    <row r="958">
      <c r="B958" s="8"/>
      <c r="C958" s="8"/>
      <c r="D958" s="8"/>
      <c r="E958" s="8"/>
      <c r="F958" s="8"/>
      <c r="G958" s="8"/>
    </row>
    <row r="959">
      <c r="B959" s="8"/>
      <c r="C959" s="8"/>
      <c r="D959" s="8"/>
      <c r="E959" s="8"/>
      <c r="F959" s="8"/>
      <c r="G959" s="8"/>
    </row>
    <row r="960">
      <c r="B960" s="8"/>
      <c r="C960" s="8"/>
      <c r="D960" s="8"/>
      <c r="E960" s="8"/>
      <c r="F960" s="8"/>
      <c r="G960" s="8"/>
    </row>
    <row r="961">
      <c r="B961" s="8"/>
      <c r="C961" s="8"/>
      <c r="D961" s="8"/>
      <c r="E961" s="8"/>
      <c r="F961" s="8"/>
      <c r="G961" s="8"/>
    </row>
    <row r="962">
      <c r="B962" s="8"/>
      <c r="C962" s="8"/>
      <c r="D962" s="8"/>
      <c r="E962" s="8"/>
      <c r="F962" s="8"/>
      <c r="G962" s="8"/>
    </row>
    <row r="963">
      <c r="B963" s="8"/>
      <c r="C963" s="8"/>
      <c r="D963" s="8"/>
      <c r="E963" s="8"/>
      <c r="F963" s="8"/>
      <c r="G963" s="8"/>
    </row>
    <row r="964">
      <c r="B964" s="8"/>
      <c r="C964" s="8"/>
      <c r="D964" s="8"/>
      <c r="E964" s="8"/>
      <c r="F964" s="8"/>
      <c r="G964" s="8"/>
    </row>
    <row r="965">
      <c r="B965" s="8"/>
      <c r="C965" s="8"/>
      <c r="D965" s="8"/>
      <c r="E965" s="8"/>
      <c r="F965" s="8"/>
      <c r="G965" s="8"/>
    </row>
    <row r="966">
      <c r="B966" s="8"/>
      <c r="C966" s="8"/>
      <c r="D966" s="8"/>
      <c r="E966" s="8"/>
      <c r="F966" s="8"/>
      <c r="G966" s="8"/>
    </row>
    <row r="967">
      <c r="B967" s="8"/>
      <c r="C967" s="8"/>
      <c r="D967" s="8"/>
      <c r="E967" s="8"/>
      <c r="F967" s="8"/>
      <c r="G967" s="8"/>
    </row>
    <row r="968">
      <c r="B968" s="8"/>
      <c r="C968" s="8"/>
      <c r="D968" s="8"/>
      <c r="E968" s="8"/>
      <c r="F968" s="8"/>
      <c r="G968" s="8"/>
    </row>
    <row r="969">
      <c r="B969" s="8"/>
      <c r="C969" s="8"/>
      <c r="D969" s="8"/>
      <c r="E969" s="8"/>
      <c r="F969" s="8"/>
      <c r="G969" s="8"/>
    </row>
    <row r="970">
      <c r="B970" s="8"/>
      <c r="C970" s="8"/>
      <c r="D970" s="8"/>
      <c r="E970" s="8"/>
      <c r="F970" s="8"/>
      <c r="G970" s="8"/>
    </row>
    <row r="971">
      <c r="B971" s="8"/>
      <c r="C971" s="8"/>
      <c r="D971" s="8"/>
      <c r="E971" s="8"/>
      <c r="F971" s="8"/>
      <c r="G971" s="8"/>
    </row>
    <row r="972">
      <c r="B972" s="8"/>
      <c r="C972" s="8"/>
      <c r="D972" s="8"/>
      <c r="E972" s="8"/>
      <c r="F972" s="8"/>
      <c r="G972" s="8"/>
    </row>
    <row r="973">
      <c r="B973" s="8"/>
      <c r="C973" s="8"/>
      <c r="D973" s="8"/>
      <c r="E973" s="8"/>
      <c r="F973" s="8"/>
      <c r="G973" s="8"/>
    </row>
    <row r="974">
      <c r="B974" s="8"/>
      <c r="C974" s="8"/>
      <c r="D974" s="8"/>
      <c r="E974" s="8"/>
      <c r="F974" s="8"/>
      <c r="G974" s="8"/>
    </row>
    <row r="975">
      <c r="B975" s="8"/>
      <c r="C975" s="8"/>
      <c r="D975" s="8"/>
      <c r="E975" s="8"/>
      <c r="F975" s="8"/>
      <c r="G975" s="8"/>
    </row>
    <row r="976">
      <c r="B976" s="8"/>
      <c r="C976" s="8"/>
      <c r="D976" s="8"/>
      <c r="E976" s="8"/>
      <c r="F976" s="8"/>
      <c r="G976" s="8"/>
    </row>
    <row r="977">
      <c r="B977" s="8"/>
      <c r="C977" s="8"/>
      <c r="D977" s="8"/>
      <c r="E977" s="8"/>
      <c r="F977" s="8"/>
      <c r="G977" s="8"/>
    </row>
    <row r="978">
      <c r="B978" s="8"/>
      <c r="C978" s="8"/>
      <c r="D978" s="8"/>
      <c r="E978" s="8"/>
      <c r="F978" s="8"/>
      <c r="G978" s="8"/>
    </row>
    <row r="979">
      <c r="B979" s="8"/>
      <c r="C979" s="8"/>
      <c r="D979" s="8"/>
      <c r="E979" s="8"/>
      <c r="F979" s="8"/>
      <c r="G979" s="8"/>
    </row>
    <row r="980">
      <c r="B980" s="8"/>
      <c r="C980" s="8"/>
      <c r="D980" s="8"/>
      <c r="E980" s="8"/>
      <c r="F980" s="8"/>
      <c r="G980" s="8"/>
    </row>
    <row r="981">
      <c r="B981" s="8"/>
      <c r="C981" s="8"/>
      <c r="D981" s="8"/>
      <c r="E981" s="8"/>
      <c r="F981" s="8"/>
      <c r="G981" s="8"/>
    </row>
    <row r="982">
      <c r="B982" s="8"/>
      <c r="C982" s="8"/>
      <c r="D982" s="8"/>
      <c r="E982" s="8"/>
      <c r="F982" s="8"/>
      <c r="G982" s="8"/>
    </row>
    <row r="983">
      <c r="B983" s="8"/>
      <c r="C983" s="8"/>
      <c r="D983" s="8"/>
      <c r="E983" s="8"/>
      <c r="F983" s="8"/>
      <c r="G983" s="8"/>
    </row>
    <row r="984">
      <c r="B984" s="8"/>
      <c r="C984" s="8"/>
      <c r="D984" s="8"/>
      <c r="E984" s="8"/>
      <c r="F984" s="8"/>
      <c r="G984" s="8"/>
    </row>
    <row r="985">
      <c r="B985" s="8"/>
      <c r="C985" s="8"/>
      <c r="D985" s="8"/>
      <c r="E985" s="8"/>
      <c r="F985" s="8"/>
      <c r="G985" s="8"/>
    </row>
    <row r="986">
      <c r="B986" s="8"/>
      <c r="C986" s="8"/>
      <c r="D986" s="8"/>
      <c r="E986" s="8"/>
      <c r="F986" s="8"/>
      <c r="G986" s="8"/>
    </row>
    <row r="987">
      <c r="B987" s="8"/>
      <c r="C987" s="8"/>
      <c r="D987" s="8"/>
      <c r="E987" s="8"/>
      <c r="F987" s="8"/>
      <c r="G987" s="8"/>
    </row>
    <row r="988">
      <c r="B988" s="8"/>
      <c r="C988" s="8"/>
      <c r="D988" s="8"/>
      <c r="E988" s="8"/>
      <c r="F988" s="8"/>
      <c r="G988" s="8"/>
    </row>
    <row r="989">
      <c r="B989" s="8"/>
      <c r="C989" s="8"/>
      <c r="D989" s="8"/>
      <c r="E989" s="8"/>
      <c r="F989" s="8"/>
      <c r="G989" s="8"/>
    </row>
    <row r="990">
      <c r="B990" s="8"/>
      <c r="C990" s="8"/>
      <c r="D990" s="8"/>
      <c r="E990" s="8"/>
      <c r="F990" s="8"/>
      <c r="G990" s="8"/>
    </row>
    <row r="991">
      <c r="B991" s="8"/>
      <c r="C991" s="8"/>
      <c r="D991" s="8"/>
      <c r="E991" s="8"/>
      <c r="F991" s="8"/>
      <c r="G991" s="8"/>
    </row>
    <row r="992">
      <c r="B992" s="8"/>
      <c r="C992" s="8"/>
      <c r="D992" s="8"/>
      <c r="E992" s="8"/>
      <c r="F992" s="8"/>
      <c r="G992" s="8"/>
    </row>
    <row r="993">
      <c r="B993" s="8"/>
      <c r="C993" s="8"/>
      <c r="D993" s="8"/>
      <c r="E993" s="8"/>
      <c r="F993" s="8"/>
      <c r="G993" s="8"/>
    </row>
    <row r="994">
      <c r="B994" s="8"/>
      <c r="C994" s="8"/>
      <c r="D994" s="8"/>
      <c r="E994" s="8"/>
      <c r="F994" s="8"/>
      <c r="G994" s="8"/>
    </row>
    <row r="995">
      <c r="B995" s="8"/>
      <c r="C995" s="8"/>
      <c r="D995" s="8"/>
      <c r="E995" s="8"/>
      <c r="F995" s="8"/>
      <c r="G995" s="8"/>
    </row>
    <row r="996">
      <c r="B996" s="8"/>
      <c r="C996" s="8"/>
      <c r="D996" s="8"/>
      <c r="E996" s="8"/>
      <c r="F996" s="8"/>
      <c r="G996" s="8"/>
    </row>
    <row r="997">
      <c r="B997" s="8"/>
      <c r="C997" s="8"/>
      <c r="D997" s="8"/>
      <c r="E997" s="8"/>
      <c r="F997" s="8"/>
      <c r="G997" s="8"/>
    </row>
    <row r="998">
      <c r="B998" s="8"/>
      <c r="C998" s="8"/>
      <c r="D998" s="8"/>
      <c r="E998" s="8"/>
      <c r="F998" s="8"/>
      <c r="G998" s="8"/>
    </row>
    <row r="999">
      <c r="B999" s="8"/>
      <c r="C999" s="8"/>
      <c r="D999" s="8"/>
      <c r="E999" s="8"/>
      <c r="F999" s="8"/>
      <c r="G999" s="8"/>
    </row>
    <row r="1000">
      <c r="B1000" s="8"/>
      <c r="C1000" s="8"/>
      <c r="D1000" s="8"/>
      <c r="E1000" s="8"/>
      <c r="F1000" s="8"/>
      <c r="G1000" s="8"/>
    </row>
    <row r="1001">
      <c r="B1001" s="8"/>
      <c r="C1001" s="8"/>
      <c r="D1001" s="8"/>
      <c r="E1001" s="8"/>
      <c r="F1001" s="8"/>
      <c r="G1001" s="8"/>
    </row>
    <row r="1002">
      <c r="B1002" s="8"/>
      <c r="C1002" s="8"/>
      <c r="D1002" s="8"/>
      <c r="E1002" s="8"/>
      <c r="F1002" s="8"/>
      <c r="G1002" s="8"/>
    </row>
    <row r="1003">
      <c r="B1003" s="8"/>
      <c r="C1003" s="8"/>
      <c r="D1003" s="8"/>
      <c r="E1003" s="8"/>
      <c r="F1003" s="8"/>
      <c r="G1003" s="8"/>
    </row>
    <row r="1004">
      <c r="B1004" s="8"/>
      <c r="C1004" s="8"/>
      <c r="D1004" s="8"/>
      <c r="E1004" s="8"/>
      <c r="F1004" s="8"/>
      <c r="G1004" s="8"/>
    </row>
    <row r="1005">
      <c r="B1005" s="8"/>
      <c r="C1005" s="8"/>
      <c r="D1005" s="8"/>
      <c r="E1005" s="8"/>
      <c r="F1005" s="8"/>
      <c r="G1005" s="8"/>
    </row>
    <row r="1006">
      <c r="B1006" s="8"/>
      <c r="C1006" s="8"/>
      <c r="D1006" s="8"/>
      <c r="E1006" s="8"/>
      <c r="F1006" s="8"/>
      <c r="G1006" s="8"/>
    </row>
    <row r="1007">
      <c r="B1007" s="8"/>
      <c r="C1007" s="8"/>
      <c r="D1007" s="8"/>
      <c r="E1007" s="8"/>
      <c r="F1007" s="8"/>
      <c r="G1007" s="8"/>
    </row>
    <row r="1008">
      <c r="B1008" s="8"/>
      <c r="C1008" s="8"/>
      <c r="D1008" s="8"/>
      <c r="E1008" s="8"/>
      <c r="F1008" s="8"/>
      <c r="G1008" s="8"/>
    </row>
    <row r="1009">
      <c r="B1009" s="8"/>
      <c r="C1009" s="8"/>
      <c r="D1009" s="8"/>
      <c r="E1009" s="8"/>
      <c r="F1009" s="8"/>
      <c r="G1009" s="8"/>
    </row>
  </sheetData>
  <mergeCells count="24">
    <mergeCell ref="B2:K3"/>
    <mergeCell ref="B5:E5"/>
    <mergeCell ref="C6:D6"/>
    <mergeCell ref="G6:H6"/>
    <mergeCell ref="C7:D7"/>
    <mergeCell ref="G7:H7"/>
    <mergeCell ref="G8:H8"/>
    <mergeCell ref="G11:H11"/>
    <mergeCell ref="G12:H12"/>
    <mergeCell ref="C13:D13"/>
    <mergeCell ref="G13:H13"/>
    <mergeCell ref="C14:D14"/>
    <mergeCell ref="G14:H14"/>
    <mergeCell ref="C15:D15"/>
    <mergeCell ref="G15:H15"/>
    <mergeCell ref="C16:D16"/>
    <mergeCell ref="B18:K19"/>
    <mergeCell ref="C8:D8"/>
    <mergeCell ref="C9:D9"/>
    <mergeCell ref="G9:H9"/>
    <mergeCell ref="C10:D10"/>
    <mergeCell ref="G10:H10"/>
    <mergeCell ref="C11:D11"/>
    <mergeCell ref="C12:D1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2.88"/>
    <col customWidth="1" min="3" max="3" width="15.38"/>
    <col customWidth="1" min="4" max="4" width="12.0"/>
    <col customWidth="1" min="6" max="6" width="11.38"/>
    <col customWidth="1" min="8" max="8" width="15.38"/>
    <col customWidth="1" min="12" max="12" width="5.0"/>
  </cols>
  <sheetData>
    <row r="1">
      <c r="B1" s="1"/>
      <c r="C1" s="1"/>
      <c r="D1" s="1"/>
      <c r="E1" s="1"/>
      <c r="F1" s="69"/>
      <c r="G1" s="1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</row>
    <row r="3">
      <c r="B3" s="5"/>
      <c r="C3" s="6"/>
      <c r="D3" s="6"/>
      <c r="E3" s="6"/>
      <c r="F3" s="6"/>
      <c r="G3" s="6"/>
      <c r="H3" s="6"/>
      <c r="I3" s="6"/>
      <c r="J3" s="6"/>
      <c r="K3" s="7"/>
    </row>
    <row r="4">
      <c r="B4" s="8"/>
      <c r="C4" s="8"/>
      <c r="D4" s="8"/>
      <c r="E4" s="8"/>
      <c r="F4" s="70"/>
      <c r="G4" s="8"/>
    </row>
    <row r="5">
      <c r="B5" s="9" t="s">
        <v>26</v>
      </c>
      <c r="C5" s="10"/>
      <c r="D5" s="10"/>
      <c r="E5" s="11"/>
      <c r="F5" s="71"/>
      <c r="G5" s="72" t="s">
        <v>27</v>
      </c>
      <c r="H5" s="10"/>
      <c r="I5" s="12" t="s">
        <v>2</v>
      </c>
      <c r="J5" s="13" t="s">
        <v>3</v>
      </c>
      <c r="K5" s="14" t="s">
        <v>4</v>
      </c>
    </row>
    <row r="6">
      <c r="B6" s="15">
        <v>1.0</v>
      </c>
      <c r="C6" s="16" t="s">
        <v>5</v>
      </c>
      <c r="D6" s="11"/>
      <c r="E6" s="15">
        <v>1052.0</v>
      </c>
      <c r="F6" s="71"/>
      <c r="G6" s="17" t="s">
        <v>6</v>
      </c>
      <c r="H6" s="18"/>
      <c r="I6" s="19">
        <f>E6</f>
        <v>1052</v>
      </c>
      <c r="J6" s="20"/>
      <c r="K6" s="73"/>
    </row>
    <row r="7">
      <c r="B7" s="22">
        <v>2.0</v>
      </c>
      <c r="C7" s="23" t="s">
        <v>7</v>
      </c>
      <c r="D7" s="11"/>
      <c r="E7" s="24">
        <v>0.5</v>
      </c>
      <c r="F7" s="74" t="s">
        <v>28</v>
      </c>
      <c r="G7" s="25" t="s">
        <v>8</v>
      </c>
      <c r="H7" s="26"/>
      <c r="I7" s="27">
        <f t="shared" ref="I7:I8" si="1">I6*J7</f>
        <v>526</v>
      </c>
      <c r="J7" s="28">
        <f t="shared" ref="J7:J8" si="2">E7</f>
        <v>0.5</v>
      </c>
      <c r="K7" s="29">
        <f t="shared" ref="K7:K8" si="3">I7+(I7*E9)</f>
        <v>657.5</v>
      </c>
      <c r="L7" s="75">
        <f>K7/I6</f>
        <v>0.625</v>
      </c>
    </row>
    <row r="8">
      <c r="B8" s="30">
        <v>3.0</v>
      </c>
      <c r="C8" s="31" t="s">
        <v>9</v>
      </c>
      <c r="D8" s="11"/>
      <c r="E8" s="32">
        <v>0.9</v>
      </c>
      <c r="F8" s="76">
        <v>96.0</v>
      </c>
      <c r="G8" s="25" t="s">
        <v>10</v>
      </c>
      <c r="H8" s="26"/>
      <c r="I8" s="33">
        <f t="shared" si="1"/>
        <v>473.4</v>
      </c>
      <c r="J8" s="34">
        <f t="shared" si="2"/>
        <v>0.9</v>
      </c>
      <c r="K8" s="35">
        <f t="shared" si="3"/>
        <v>591.75</v>
      </c>
      <c r="L8" s="75">
        <f>K8/K7</f>
        <v>0.9</v>
      </c>
    </row>
    <row r="9">
      <c r="B9" s="36">
        <v>4.0</v>
      </c>
      <c r="C9" s="37" t="s">
        <v>11</v>
      </c>
      <c r="D9" s="11"/>
      <c r="E9" s="38">
        <v>0.25</v>
      </c>
      <c r="F9" s="77"/>
      <c r="G9" s="25" t="s">
        <v>12</v>
      </c>
      <c r="H9" s="26"/>
      <c r="I9" s="39">
        <f>E11</f>
        <v>48</v>
      </c>
      <c r="J9" s="40">
        <f>E12</f>
        <v>0.88</v>
      </c>
      <c r="K9" s="41">
        <f>I9+(I9*E12)</f>
        <v>90.24</v>
      </c>
    </row>
    <row r="10">
      <c r="B10" s="42">
        <v>5.0</v>
      </c>
      <c r="C10" s="43" t="s">
        <v>13</v>
      </c>
      <c r="D10" s="11"/>
      <c r="E10" s="44">
        <v>0.25</v>
      </c>
      <c r="F10" s="77"/>
      <c r="G10" s="25" t="s">
        <v>29</v>
      </c>
      <c r="H10" s="26"/>
      <c r="I10" s="45">
        <f>E13</f>
        <v>19200</v>
      </c>
      <c r="J10" s="46">
        <f>E14</f>
        <v>0.25</v>
      </c>
      <c r="K10" s="47">
        <f>I10+(I10*J10)</f>
        <v>24000</v>
      </c>
      <c r="L10" s="78">
        <f>K10/3</f>
        <v>8000</v>
      </c>
    </row>
    <row r="11">
      <c r="B11" s="48">
        <v>6.0</v>
      </c>
      <c r="C11" s="49" t="s">
        <v>15</v>
      </c>
      <c r="D11" s="11"/>
      <c r="E11" s="50">
        <v>48.0</v>
      </c>
      <c r="F11" s="79"/>
      <c r="G11" s="25" t="s">
        <v>16</v>
      </c>
      <c r="H11" s="26"/>
      <c r="I11" s="45">
        <f>IFERROR(I7/E15,0)</f>
        <v>52.6</v>
      </c>
      <c r="J11" s="51"/>
      <c r="K11" s="47">
        <f>IFERROR(K7/K13,0)</f>
        <v>46.96428571</v>
      </c>
    </row>
    <row r="12">
      <c r="B12" s="48">
        <v>7.0</v>
      </c>
      <c r="C12" s="49" t="s">
        <v>17</v>
      </c>
      <c r="D12" s="11"/>
      <c r="E12" s="52">
        <v>0.88</v>
      </c>
      <c r="F12" s="77"/>
      <c r="G12" s="25" t="s">
        <v>18</v>
      </c>
      <c r="H12" s="26"/>
      <c r="I12" s="53">
        <f>IFERROR(I10/I8,0)</f>
        <v>40.55766793</v>
      </c>
      <c r="J12" s="51"/>
      <c r="K12" s="54">
        <f>IFERROR(K10/K8,0)</f>
        <v>40.55766793</v>
      </c>
    </row>
    <row r="13">
      <c r="B13" s="55">
        <v>8.0</v>
      </c>
      <c r="C13" s="56" t="s">
        <v>19</v>
      </c>
      <c r="D13" s="11"/>
      <c r="E13" s="57">
        <v>19200.0</v>
      </c>
      <c r="F13" s="80"/>
      <c r="G13" s="25" t="s">
        <v>20</v>
      </c>
      <c r="H13" s="26"/>
      <c r="I13" s="59"/>
      <c r="J13" s="51"/>
      <c r="K13" s="47">
        <f>E15+(E15*E16)</f>
        <v>14</v>
      </c>
    </row>
    <row r="14">
      <c r="B14" s="55">
        <v>9.0</v>
      </c>
      <c r="C14" s="56" t="s">
        <v>21</v>
      </c>
      <c r="D14" s="11"/>
      <c r="E14" s="60">
        <v>0.25</v>
      </c>
      <c r="F14" s="81"/>
      <c r="G14" s="25" t="s">
        <v>22</v>
      </c>
      <c r="H14" s="26"/>
      <c r="I14" s="45">
        <f>IFERROR(I10/E15,0)</f>
        <v>1920</v>
      </c>
      <c r="J14" s="51"/>
      <c r="K14" s="47">
        <f>IFERROR(K10/K13,0)</f>
        <v>1714.285714</v>
      </c>
    </row>
    <row r="15">
      <c r="B15" s="55">
        <v>10.0</v>
      </c>
      <c r="C15" s="56" t="s">
        <v>23</v>
      </c>
      <c r="D15" s="11"/>
      <c r="E15" s="57">
        <v>10.0</v>
      </c>
      <c r="F15" s="82"/>
      <c r="G15" s="83"/>
      <c r="H15" s="26"/>
      <c r="I15" s="84"/>
      <c r="J15" s="85"/>
      <c r="K15" s="86"/>
    </row>
    <row r="16">
      <c r="B16" s="55">
        <v>11.0</v>
      </c>
      <c r="C16" s="56" t="s">
        <v>24</v>
      </c>
      <c r="D16" s="11"/>
      <c r="E16" s="60">
        <v>0.4</v>
      </c>
      <c r="F16" s="82"/>
      <c r="G16" s="87" t="s">
        <v>30</v>
      </c>
      <c r="H16" s="26"/>
      <c r="I16" s="88"/>
      <c r="J16" s="89"/>
      <c r="K16" s="90">
        <f>(K10*28)*E17</f>
        <v>100800</v>
      </c>
    </row>
    <row r="17">
      <c r="B17" s="91">
        <v>12.0</v>
      </c>
      <c r="C17" s="92" t="s">
        <v>31</v>
      </c>
      <c r="D17" s="11"/>
      <c r="E17" s="93">
        <v>0.15</v>
      </c>
      <c r="F17" s="70"/>
      <c r="G17" s="87" t="s">
        <v>32</v>
      </c>
      <c r="H17" s="26"/>
      <c r="I17" s="94"/>
      <c r="J17" s="95"/>
      <c r="K17" s="90">
        <f>(K10*28)*E18</f>
        <v>6720</v>
      </c>
    </row>
    <row r="18">
      <c r="B18" s="96"/>
      <c r="C18" s="92" t="s">
        <v>33</v>
      </c>
      <c r="D18" s="11"/>
      <c r="E18" s="97">
        <v>0.01</v>
      </c>
      <c r="F18" s="70"/>
      <c r="G18" s="98" t="s">
        <v>34</v>
      </c>
      <c r="H18" s="63"/>
      <c r="I18" s="64"/>
      <c r="J18" s="65"/>
      <c r="K18" s="66"/>
    </row>
    <row r="19">
      <c r="F19" s="70"/>
      <c r="G19" s="61"/>
    </row>
    <row r="20">
      <c r="B20" s="67" t="s">
        <v>25</v>
      </c>
    </row>
    <row r="25">
      <c r="B25" s="2" t="s">
        <v>0</v>
      </c>
      <c r="C25" s="3"/>
      <c r="D25" s="3"/>
      <c r="E25" s="3"/>
      <c r="F25" s="3"/>
      <c r="G25" s="3"/>
      <c r="H25" s="3"/>
      <c r="I25" s="3"/>
      <c r="J25" s="3"/>
      <c r="K25" s="4"/>
    </row>
    <row r="26">
      <c r="B26" s="5"/>
      <c r="C26" s="6"/>
      <c r="D26" s="6"/>
      <c r="E26" s="6"/>
      <c r="F26" s="6"/>
      <c r="G26" s="6"/>
      <c r="H26" s="6"/>
      <c r="I26" s="6"/>
      <c r="J26" s="6"/>
      <c r="K26" s="7"/>
    </row>
    <row r="27">
      <c r="B27" s="8"/>
      <c r="C27" s="8"/>
      <c r="D27" s="8"/>
      <c r="E27" s="8"/>
      <c r="F27" s="70"/>
      <c r="G27" s="8"/>
    </row>
    <row r="28">
      <c r="B28" s="9" t="s">
        <v>26</v>
      </c>
      <c r="C28" s="10"/>
      <c r="D28" s="10"/>
      <c r="E28" s="11"/>
      <c r="F28" s="71"/>
      <c r="G28" s="72" t="s">
        <v>35</v>
      </c>
      <c r="H28" s="10"/>
      <c r="I28" s="12" t="s">
        <v>2</v>
      </c>
      <c r="J28" s="13" t="s">
        <v>3</v>
      </c>
      <c r="K28" s="14" t="s">
        <v>4</v>
      </c>
    </row>
    <row r="29">
      <c r="B29" s="15">
        <v>1.0</v>
      </c>
      <c r="C29" s="16" t="s">
        <v>5</v>
      </c>
      <c r="D29" s="11"/>
      <c r="E29" s="15">
        <v>1481.0</v>
      </c>
      <c r="F29" s="71"/>
      <c r="G29" s="17" t="s">
        <v>6</v>
      </c>
      <c r="H29" s="18"/>
      <c r="I29" s="19">
        <f>E29</f>
        <v>1481</v>
      </c>
      <c r="J29" s="20"/>
      <c r="K29" s="21"/>
    </row>
    <row r="30">
      <c r="B30" s="22">
        <v>2.0</v>
      </c>
      <c r="C30" s="23" t="s">
        <v>7</v>
      </c>
      <c r="D30" s="11"/>
      <c r="E30" s="24">
        <v>0.85</v>
      </c>
      <c r="F30" s="99">
        <v>0.85</v>
      </c>
      <c r="G30" s="25" t="s">
        <v>8</v>
      </c>
      <c r="H30" s="26"/>
      <c r="I30" s="27">
        <f t="shared" ref="I30:I31" si="4">I29*J30</f>
        <v>1258.85</v>
      </c>
      <c r="J30" s="28">
        <f t="shared" ref="J30:J31" si="5">E30</f>
        <v>0.85</v>
      </c>
      <c r="K30" s="29">
        <f t="shared" ref="K30:K31" si="6">I30+(I30*E32)</f>
        <v>1447.6775</v>
      </c>
      <c r="L30" s="75">
        <f>K30/I29</f>
        <v>0.9775</v>
      </c>
    </row>
    <row r="31">
      <c r="B31" s="30">
        <v>3.0</v>
      </c>
      <c r="C31" s="31" t="s">
        <v>9</v>
      </c>
      <c r="D31" s="11"/>
      <c r="E31" s="32">
        <v>0.6</v>
      </c>
      <c r="F31" s="79" t="s">
        <v>36</v>
      </c>
      <c r="G31" s="25" t="s">
        <v>10</v>
      </c>
      <c r="H31" s="26"/>
      <c r="I31" s="33">
        <f t="shared" si="4"/>
        <v>755.31</v>
      </c>
      <c r="J31" s="34">
        <f t="shared" si="5"/>
        <v>0.6</v>
      </c>
      <c r="K31" s="35">
        <f t="shared" si="6"/>
        <v>944.1375</v>
      </c>
      <c r="L31" s="75">
        <f>K31/K30</f>
        <v>0.652173913</v>
      </c>
    </row>
    <row r="32">
      <c r="B32" s="36">
        <v>4.0</v>
      </c>
      <c r="C32" s="37" t="s">
        <v>11</v>
      </c>
      <c r="D32" s="11"/>
      <c r="E32" s="38">
        <v>0.15</v>
      </c>
      <c r="F32" s="71"/>
      <c r="G32" s="25" t="s">
        <v>12</v>
      </c>
      <c r="H32" s="26"/>
      <c r="I32" s="39">
        <f>E34</f>
        <v>29</v>
      </c>
      <c r="J32" s="40">
        <f>E35</f>
        <v>1</v>
      </c>
      <c r="K32" s="41">
        <f>I32+(I32*E35)</f>
        <v>58</v>
      </c>
    </row>
    <row r="33">
      <c r="B33" s="42">
        <v>5.0</v>
      </c>
      <c r="C33" s="43" t="s">
        <v>13</v>
      </c>
      <c r="D33" s="11"/>
      <c r="E33" s="44">
        <v>0.25</v>
      </c>
      <c r="F33" s="71"/>
      <c r="G33" s="25" t="s">
        <v>14</v>
      </c>
      <c r="H33" s="26"/>
      <c r="I33" s="45">
        <f>E36</f>
        <v>16227</v>
      </c>
      <c r="J33" s="46">
        <f>E37</f>
        <v>0.25</v>
      </c>
      <c r="K33" s="47">
        <f>I33+(I33*J33)</f>
        <v>20283.75</v>
      </c>
    </row>
    <row r="34">
      <c r="B34" s="48">
        <v>6.0</v>
      </c>
      <c r="C34" s="49" t="s">
        <v>15</v>
      </c>
      <c r="D34" s="11"/>
      <c r="E34" s="50">
        <v>29.0</v>
      </c>
      <c r="F34" s="79"/>
      <c r="G34" s="25" t="s">
        <v>16</v>
      </c>
      <c r="H34" s="26"/>
      <c r="I34" s="45">
        <f>IFERROR(I30/E38,0)</f>
        <v>104.9041667</v>
      </c>
      <c r="J34" s="51"/>
      <c r="K34" s="47">
        <f>IFERROR(K30/K36,0)</f>
        <v>100.5331597</v>
      </c>
    </row>
    <row r="35">
      <c r="B35" s="48">
        <v>7.0</v>
      </c>
      <c r="C35" s="49" t="s">
        <v>17</v>
      </c>
      <c r="D35" s="11"/>
      <c r="E35" s="52">
        <v>1.0</v>
      </c>
      <c r="F35" s="71"/>
      <c r="G35" s="25" t="s">
        <v>18</v>
      </c>
      <c r="H35" s="26"/>
      <c r="I35" s="53">
        <f>IFERROR(I33/I31,0)</f>
        <v>21.48389403</v>
      </c>
      <c r="J35" s="51"/>
      <c r="K35" s="54">
        <f>IFERROR(K33/K31,0)</f>
        <v>21.48389403</v>
      </c>
    </row>
    <row r="36">
      <c r="B36" s="55">
        <v>8.0</v>
      </c>
      <c r="C36" s="56" t="s">
        <v>19</v>
      </c>
      <c r="D36" s="11"/>
      <c r="E36" s="57">
        <v>16227.0</v>
      </c>
      <c r="F36" s="80"/>
      <c r="G36" s="25" t="s">
        <v>20</v>
      </c>
      <c r="H36" s="26"/>
      <c r="I36" s="59"/>
      <c r="J36" s="51"/>
      <c r="K36" s="47">
        <f>E38+(E38*E39)</f>
        <v>14.4</v>
      </c>
    </row>
    <row r="37">
      <c r="B37" s="55">
        <v>9.0</v>
      </c>
      <c r="C37" s="56" t="s">
        <v>21</v>
      </c>
      <c r="D37" s="11"/>
      <c r="E37" s="60">
        <v>0.25</v>
      </c>
      <c r="F37" s="82"/>
      <c r="G37" s="25" t="s">
        <v>22</v>
      </c>
      <c r="H37" s="26"/>
      <c r="I37" s="45">
        <f>IFERROR(I33/E38,0)</f>
        <v>1352.25</v>
      </c>
      <c r="J37" s="51"/>
      <c r="K37" s="47">
        <f>IFERROR(K33/K36,0)</f>
        <v>1408.59375</v>
      </c>
    </row>
    <row r="38">
      <c r="B38" s="55">
        <v>10.0</v>
      </c>
      <c r="C38" s="56" t="s">
        <v>23</v>
      </c>
      <c r="D38" s="11"/>
      <c r="E38" s="57">
        <v>12.0</v>
      </c>
      <c r="F38" s="82"/>
      <c r="G38" s="83"/>
      <c r="H38" s="26"/>
      <c r="I38" s="84"/>
      <c r="J38" s="85"/>
      <c r="K38" s="86"/>
    </row>
    <row r="39">
      <c r="B39" s="55">
        <v>11.0</v>
      </c>
      <c r="C39" s="56" t="s">
        <v>24</v>
      </c>
      <c r="D39" s="11"/>
      <c r="E39" s="60">
        <v>0.2</v>
      </c>
      <c r="F39" s="82"/>
      <c r="G39" s="87" t="s">
        <v>30</v>
      </c>
      <c r="H39" s="26"/>
      <c r="I39" s="88"/>
      <c r="J39" s="89"/>
      <c r="K39" s="90">
        <f>(K33*28)*E40</f>
        <v>0</v>
      </c>
    </row>
    <row r="40">
      <c r="B40" s="91">
        <v>12.0</v>
      </c>
      <c r="C40" s="92" t="s">
        <v>31</v>
      </c>
      <c r="D40" s="11"/>
      <c r="E40" s="93">
        <v>0.0</v>
      </c>
      <c r="F40" s="82"/>
      <c r="G40" s="87" t="s">
        <v>32</v>
      </c>
      <c r="H40" s="26"/>
      <c r="I40" s="94"/>
      <c r="J40" s="95"/>
      <c r="K40" s="90">
        <f>(K33*28)*E41</f>
        <v>5679.45</v>
      </c>
    </row>
    <row r="41">
      <c r="B41" s="96"/>
      <c r="C41" s="92" t="s">
        <v>33</v>
      </c>
      <c r="D41" s="11"/>
      <c r="E41" s="93">
        <v>0.01</v>
      </c>
      <c r="F41" s="82"/>
      <c r="G41" s="62"/>
      <c r="H41" s="63"/>
      <c r="I41" s="64"/>
      <c r="J41" s="65"/>
      <c r="K41" s="66"/>
    </row>
    <row r="42">
      <c r="F42" s="70"/>
      <c r="G42" s="61"/>
    </row>
    <row r="43">
      <c r="B43" s="67" t="s">
        <v>25</v>
      </c>
    </row>
    <row r="45">
      <c r="F45" s="70"/>
      <c r="G45" s="8"/>
    </row>
    <row r="46">
      <c r="F46" s="70"/>
      <c r="G46" s="8"/>
    </row>
    <row r="47">
      <c r="B47" s="2" t="s">
        <v>0</v>
      </c>
      <c r="C47" s="3"/>
      <c r="D47" s="3"/>
      <c r="E47" s="3"/>
      <c r="F47" s="3"/>
      <c r="G47" s="3"/>
      <c r="H47" s="3"/>
      <c r="I47" s="3"/>
      <c r="J47" s="3"/>
      <c r="K47" s="4"/>
    </row>
    <row r="48">
      <c r="B48" s="5"/>
      <c r="C48" s="6"/>
      <c r="D48" s="6"/>
      <c r="E48" s="6"/>
      <c r="F48" s="6"/>
      <c r="G48" s="6"/>
      <c r="H48" s="6"/>
      <c r="I48" s="6"/>
      <c r="J48" s="6"/>
      <c r="K48" s="7"/>
    </row>
    <row r="49">
      <c r="B49" s="8"/>
      <c r="C49" s="8"/>
      <c r="D49" s="8"/>
      <c r="E49" s="8"/>
      <c r="F49" s="70"/>
      <c r="G49" s="8"/>
    </row>
    <row r="50">
      <c r="B50" s="9" t="s">
        <v>26</v>
      </c>
      <c r="C50" s="10"/>
      <c r="D50" s="10"/>
      <c r="E50" s="11"/>
      <c r="F50" s="71"/>
      <c r="G50" s="72" t="s">
        <v>37</v>
      </c>
      <c r="H50" s="10"/>
      <c r="I50" s="100" t="s">
        <v>2</v>
      </c>
      <c r="J50" s="13" t="s">
        <v>3</v>
      </c>
      <c r="K50" s="101" t="s">
        <v>4</v>
      </c>
    </row>
    <row r="51">
      <c r="B51" s="15">
        <v>1.0</v>
      </c>
      <c r="C51" s="16" t="s">
        <v>5</v>
      </c>
      <c r="D51" s="11"/>
      <c r="E51" s="15">
        <v>1952.0</v>
      </c>
      <c r="F51" s="71"/>
      <c r="G51" s="17" t="s">
        <v>6</v>
      </c>
      <c r="H51" s="18"/>
      <c r="I51" s="19">
        <f>E51</f>
        <v>1952</v>
      </c>
      <c r="J51" s="102"/>
      <c r="K51" s="21"/>
    </row>
    <row r="52">
      <c r="B52" s="22">
        <v>2.0</v>
      </c>
      <c r="C52" s="23" t="s">
        <v>7</v>
      </c>
      <c r="D52" s="11"/>
      <c r="E52" s="24">
        <v>0.7</v>
      </c>
      <c r="F52" s="99">
        <v>0.7</v>
      </c>
      <c r="G52" s="25" t="s">
        <v>8</v>
      </c>
      <c r="H52" s="26"/>
      <c r="I52" s="27">
        <f t="shared" ref="I52:I53" si="7">I51*J52</f>
        <v>1366.4</v>
      </c>
      <c r="J52" s="103">
        <f t="shared" ref="J52:J53" si="8">E52</f>
        <v>0.7</v>
      </c>
      <c r="K52" s="29">
        <f t="shared" ref="K52:K53" si="9">I52+(I52*E54)</f>
        <v>1708</v>
      </c>
      <c r="L52" s="75">
        <f>K52/I51</f>
        <v>0.875</v>
      </c>
    </row>
    <row r="53">
      <c r="B53" s="30">
        <v>3.0</v>
      </c>
      <c r="C53" s="31" t="s">
        <v>9</v>
      </c>
      <c r="D53" s="11"/>
      <c r="E53" s="32">
        <v>0.6</v>
      </c>
      <c r="F53" s="104" t="s">
        <v>38</v>
      </c>
      <c r="G53" s="25" t="s">
        <v>10</v>
      </c>
      <c r="H53" s="26"/>
      <c r="I53" s="33">
        <f t="shared" si="7"/>
        <v>819.84</v>
      </c>
      <c r="J53" s="105">
        <f t="shared" si="8"/>
        <v>0.6</v>
      </c>
      <c r="K53" s="35">
        <f t="shared" si="9"/>
        <v>1024.8</v>
      </c>
      <c r="L53" s="75">
        <f>K53/K52</f>
        <v>0.6</v>
      </c>
    </row>
    <row r="54">
      <c r="B54" s="36">
        <v>4.0</v>
      </c>
      <c r="C54" s="37" t="s">
        <v>11</v>
      </c>
      <c r="D54" s="11"/>
      <c r="E54" s="38">
        <v>0.25</v>
      </c>
      <c r="F54" s="71"/>
      <c r="G54" s="25" t="s">
        <v>12</v>
      </c>
      <c r="H54" s="26"/>
      <c r="I54" s="39">
        <f>E56</f>
        <v>22</v>
      </c>
      <c r="J54" s="106">
        <f>E57</f>
        <v>1.5</v>
      </c>
      <c r="K54" s="107">
        <f>I54+(I54*E57)</f>
        <v>55</v>
      </c>
    </row>
    <row r="55">
      <c r="B55" s="42">
        <v>5.0</v>
      </c>
      <c r="C55" s="43" t="s">
        <v>13</v>
      </c>
      <c r="D55" s="11"/>
      <c r="E55" s="44">
        <v>0.25</v>
      </c>
      <c r="F55" s="71"/>
      <c r="G55" s="25" t="s">
        <v>14</v>
      </c>
      <c r="H55" s="26"/>
      <c r="I55" s="108">
        <f>E58</f>
        <v>2250</v>
      </c>
      <c r="J55" s="109">
        <f>E59</f>
        <v>0.25</v>
      </c>
      <c r="K55" s="110">
        <f>I55+(I55*J55)</f>
        <v>2812.5</v>
      </c>
    </row>
    <row r="56">
      <c r="B56" s="48">
        <v>6.0</v>
      </c>
      <c r="C56" s="49" t="s">
        <v>15</v>
      </c>
      <c r="D56" s="11"/>
      <c r="E56" s="50">
        <v>22.0</v>
      </c>
      <c r="F56" s="79"/>
      <c r="G56" s="25" t="s">
        <v>16</v>
      </c>
      <c r="H56" s="26"/>
      <c r="I56" s="108">
        <f>IFERROR(I52/E60,0)</f>
        <v>136.64</v>
      </c>
      <c r="J56" s="111"/>
      <c r="K56" s="110">
        <f>IFERROR(K52/K58,0)</f>
        <v>142.3333333</v>
      </c>
    </row>
    <row r="57">
      <c r="B57" s="48">
        <v>7.0</v>
      </c>
      <c r="C57" s="49" t="s">
        <v>17</v>
      </c>
      <c r="D57" s="11"/>
      <c r="E57" s="52">
        <v>1.5</v>
      </c>
      <c r="F57" s="71"/>
      <c r="G57" s="25" t="s">
        <v>18</v>
      </c>
      <c r="H57" s="26"/>
      <c r="I57" s="112">
        <f>IFERROR(I55/I53,0)</f>
        <v>2.744437939</v>
      </c>
      <c r="J57" s="111"/>
      <c r="K57" s="113">
        <f>IFERROR(K55/K53,0)</f>
        <v>2.744437939</v>
      </c>
    </row>
    <row r="58">
      <c r="B58" s="55">
        <v>8.0</v>
      </c>
      <c r="C58" s="56" t="s">
        <v>19</v>
      </c>
      <c r="D58" s="11"/>
      <c r="E58" s="57">
        <v>2250.0</v>
      </c>
      <c r="F58" s="80"/>
      <c r="G58" s="25" t="s">
        <v>20</v>
      </c>
      <c r="H58" s="26"/>
      <c r="I58" s="114"/>
      <c r="J58" s="111"/>
      <c r="K58" s="47">
        <f>E60+(E60*E61)</f>
        <v>12</v>
      </c>
    </row>
    <row r="59">
      <c r="B59" s="55">
        <v>9.0</v>
      </c>
      <c r="C59" s="56" t="s">
        <v>21</v>
      </c>
      <c r="D59" s="11"/>
      <c r="E59" s="60">
        <v>0.25</v>
      </c>
      <c r="F59" s="82"/>
      <c r="G59" s="25" t="s">
        <v>22</v>
      </c>
      <c r="H59" s="26"/>
      <c r="I59" s="108">
        <f>IFERROR(I55/E60,0)</f>
        <v>225</v>
      </c>
      <c r="J59" s="111"/>
      <c r="K59" s="110">
        <f>IFERROR(K55/K58,0)</f>
        <v>234.375</v>
      </c>
    </row>
    <row r="60">
      <c r="B60" s="55">
        <v>10.0</v>
      </c>
      <c r="C60" s="56" t="s">
        <v>23</v>
      </c>
      <c r="D60" s="11"/>
      <c r="E60" s="57">
        <v>10.0</v>
      </c>
      <c r="F60" s="82"/>
      <c r="G60" s="83"/>
      <c r="H60" s="26"/>
      <c r="I60" s="84"/>
      <c r="J60" s="85"/>
      <c r="K60" s="86"/>
    </row>
    <row r="61">
      <c r="B61" s="55">
        <v>11.0</v>
      </c>
      <c r="C61" s="56" t="s">
        <v>24</v>
      </c>
      <c r="D61" s="11"/>
      <c r="E61" s="60">
        <v>0.2</v>
      </c>
      <c r="F61" s="82"/>
      <c r="G61" s="87" t="s">
        <v>30</v>
      </c>
      <c r="H61" s="26"/>
      <c r="I61" s="88"/>
      <c r="J61" s="89"/>
      <c r="K61" s="90">
        <f>(K55*28)*E62</f>
        <v>0</v>
      </c>
    </row>
    <row r="62">
      <c r="B62" s="91">
        <v>12.0</v>
      </c>
      <c r="C62" s="92" t="s">
        <v>31</v>
      </c>
      <c r="D62" s="11"/>
      <c r="E62" s="93">
        <v>0.0</v>
      </c>
      <c r="F62" s="82"/>
      <c r="G62" s="87" t="s">
        <v>32</v>
      </c>
      <c r="H62" s="26"/>
      <c r="I62" s="94"/>
      <c r="J62" s="95"/>
      <c r="K62" s="90">
        <f>(K55*28)*E63</f>
        <v>787.5</v>
      </c>
    </row>
    <row r="63">
      <c r="B63" s="96"/>
      <c r="C63" s="92" t="s">
        <v>33</v>
      </c>
      <c r="D63" s="11"/>
      <c r="E63" s="93">
        <v>0.01</v>
      </c>
      <c r="F63" s="82"/>
      <c r="G63" s="62"/>
      <c r="H63" s="63"/>
      <c r="I63" s="64"/>
      <c r="J63" s="115"/>
      <c r="K63" s="66"/>
    </row>
    <row r="64">
      <c r="F64" s="70"/>
      <c r="G64" s="61"/>
    </row>
    <row r="65">
      <c r="B65" s="67" t="s">
        <v>25</v>
      </c>
    </row>
    <row r="67">
      <c r="B67" s="8"/>
      <c r="C67" s="8"/>
      <c r="D67" s="8"/>
      <c r="E67" s="8"/>
      <c r="F67" s="70"/>
      <c r="G67" s="8"/>
    </row>
    <row r="68">
      <c r="B68" s="8"/>
      <c r="C68" s="8"/>
      <c r="D68" s="8"/>
      <c r="E68" s="8"/>
      <c r="F68" s="70"/>
      <c r="G68" s="8"/>
    </row>
    <row r="69">
      <c r="B69" s="2" t="s">
        <v>0</v>
      </c>
      <c r="C69" s="3"/>
      <c r="D69" s="3"/>
      <c r="E69" s="3"/>
      <c r="F69" s="3"/>
      <c r="G69" s="3"/>
      <c r="H69" s="3"/>
      <c r="I69" s="3"/>
      <c r="J69" s="3"/>
      <c r="K69" s="4"/>
    </row>
    <row r="70">
      <c r="B70" s="5"/>
      <c r="C70" s="6"/>
      <c r="D70" s="6"/>
      <c r="E70" s="6"/>
      <c r="F70" s="6"/>
      <c r="G70" s="6"/>
      <c r="H70" s="6"/>
      <c r="I70" s="6"/>
      <c r="J70" s="6"/>
      <c r="K70" s="7"/>
    </row>
    <row r="71">
      <c r="B71" s="8"/>
      <c r="C71" s="8"/>
      <c r="D71" s="8"/>
      <c r="E71" s="8"/>
      <c r="F71" s="70"/>
      <c r="G71" s="8"/>
    </row>
    <row r="72">
      <c r="B72" s="9" t="s">
        <v>26</v>
      </c>
      <c r="C72" s="10"/>
      <c r="D72" s="10"/>
      <c r="E72" s="11"/>
      <c r="F72" s="71"/>
      <c r="G72" s="72" t="s">
        <v>39</v>
      </c>
      <c r="H72" s="10"/>
      <c r="I72" s="100" t="s">
        <v>2</v>
      </c>
      <c r="J72" s="13" t="s">
        <v>3</v>
      </c>
      <c r="K72" s="101" t="s">
        <v>4</v>
      </c>
    </row>
    <row r="73">
      <c r="B73" s="15">
        <v>1.0</v>
      </c>
      <c r="C73" s="16" t="s">
        <v>5</v>
      </c>
      <c r="D73" s="11"/>
      <c r="E73" s="15">
        <v>737.0</v>
      </c>
      <c r="F73" s="71"/>
      <c r="G73" s="12" t="s">
        <v>6</v>
      </c>
      <c r="H73" s="11"/>
      <c r="I73" s="116">
        <f>E73</f>
        <v>737</v>
      </c>
      <c r="J73" s="102"/>
      <c r="K73" s="21"/>
    </row>
    <row r="74">
      <c r="B74" s="22">
        <v>2.0</v>
      </c>
      <c r="C74" s="23" t="s">
        <v>7</v>
      </c>
      <c r="D74" s="11"/>
      <c r="E74" s="24">
        <v>0.85</v>
      </c>
      <c r="F74" s="99">
        <v>0.85</v>
      </c>
      <c r="G74" s="12" t="s">
        <v>8</v>
      </c>
      <c r="H74" s="11"/>
      <c r="I74" s="117">
        <f t="shared" ref="I74:I75" si="10">I73*J74</f>
        <v>626.45</v>
      </c>
      <c r="J74" s="103">
        <f t="shared" ref="J74:J75" si="11">E74</f>
        <v>0.85</v>
      </c>
      <c r="K74" s="29">
        <f t="shared" ref="K74:K75" si="12">I74+(I74*E76)</f>
        <v>814.385</v>
      </c>
      <c r="L74" s="75">
        <f>K74/I73</f>
        <v>1.105</v>
      </c>
    </row>
    <row r="75">
      <c r="B75" s="30">
        <v>3.0</v>
      </c>
      <c r="C75" s="31" t="s">
        <v>9</v>
      </c>
      <c r="D75" s="11"/>
      <c r="E75" s="32">
        <v>0.6</v>
      </c>
      <c r="F75" s="79" t="s">
        <v>36</v>
      </c>
      <c r="G75" s="12" t="s">
        <v>10</v>
      </c>
      <c r="H75" s="11"/>
      <c r="I75" s="118">
        <f t="shared" si="10"/>
        <v>375.87</v>
      </c>
      <c r="J75" s="105">
        <f t="shared" si="11"/>
        <v>0.6</v>
      </c>
      <c r="K75" s="35">
        <f t="shared" si="12"/>
        <v>563.805</v>
      </c>
      <c r="L75" s="75">
        <f>K75/K74</f>
        <v>0.6923076923</v>
      </c>
    </row>
    <row r="76">
      <c r="B76" s="36">
        <v>4.0</v>
      </c>
      <c r="C76" s="37" t="s">
        <v>11</v>
      </c>
      <c r="D76" s="11"/>
      <c r="E76" s="38">
        <v>0.3</v>
      </c>
      <c r="F76" s="71"/>
      <c r="G76" s="12" t="s">
        <v>12</v>
      </c>
      <c r="H76" s="11"/>
      <c r="I76" s="119">
        <f>E78</f>
        <v>46</v>
      </c>
      <c r="J76" s="106">
        <f>E79</f>
        <v>0.8</v>
      </c>
      <c r="K76" s="120">
        <v>82.0</v>
      </c>
    </row>
    <row r="77">
      <c r="B77" s="42">
        <v>5.0</v>
      </c>
      <c r="C77" s="43" t="s">
        <v>13</v>
      </c>
      <c r="D77" s="11"/>
      <c r="E77" s="44">
        <v>0.5</v>
      </c>
      <c r="F77" s="71"/>
      <c r="G77" s="12" t="s">
        <v>14</v>
      </c>
      <c r="H77" s="11"/>
      <c r="I77" s="121">
        <f>E80</f>
        <v>1443</v>
      </c>
      <c r="J77" s="109">
        <f>E81</f>
        <v>0.5</v>
      </c>
      <c r="K77" s="110">
        <f>I77+(I77*J77)</f>
        <v>2164.5</v>
      </c>
      <c r="L77" s="122">
        <f>K77/3</f>
        <v>721.5</v>
      </c>
    </row>
    <row r="78">
      <c r="B78" s="48">
        <v>6.0</v>
      </c>
      <c r="C78" s="49" t="s">
        <v>15</v>
      </c>
      <c r="D78" s="11"/>
      <c r="E78" s="50">
        <v>46.0</v>
      </c>
      <c r="F78" s="79"/>
      <c r="G78" s="12" t="s">
        <v>16</v>
      </c>
      <c r="H78" s="11"/>
      <c r="I78" s="121">
        <f>IFERROR(I74/E82,0)</f>
        <v>78.30625</v>
      </c>
      <c r="J78" s="111"/>
      <c r="K78" s="110">
        <f>IFERROR(K74/K80,0)</f>
        <v>92.54375</v>
      </c>
    </row>
    <row r="79">
      <c r="B79" s="48">
        <v>7.0</v>
      </c>
      <c r="C79" s="49" t="s">
        <v>17</v>
      </c>
      <c r="D79" s="11"/>
      <c r="E79" s="52">
        <v>0.8</v>
      </c>
      <c r="F79" s="71"/>
      <c r="G79" s="12" t="s">
        <v>18</v>
      </c>
      <c r="H79" s="11"/>
      <c r="I79" s="123">
        <f>IFERROR(I77/I75,0)</f>
        <v>3.839093304</v>
      </c>
      <c r="J79" s="111"/>
      <c r="K79" s="113">
        <f>IFERROR(K77/K75,0)</f>
        <v>3.839093304</v>
      </c>
    </row>
    <row r="80">
      <c r="B80" s="55">
        <v>8.0</v>
      </c>
      <c r="C80" s="56" t="s">
        <v>19</v>
      </c>
      <c r="D80" s="11"/>
      <c r="E80" s="57">
        <v>1443.0</v>
      </c>
      <c r="F80" s="124">
        <f>1443/3</f>
        <v>481</v>
      </c>
      <c r="G80" s="12" t="s">
        <v>20</v>
      </c>
      <c r="H80" s="11"/>
      <c r="I80" s="125"/>
      <c r="J80" s="111"/>
      <c r="K80" s="47">
        <f>E82+(E82*E83)</f>
        <v>8.8</v>
      </c>
    </row>
    <row r="81">
      <c r="B81" s="55">
        <v>9.0</v>
      </c>
      <c r="C81" s="56" t="s">
        <v>21</v>
      </c>
      <c r="D81" s="11"/>
      <c r="E81" s="60">
        <v>0.5</v>
      </c>
      <c r="F81" s="82"/>
      <c r="G81" s="12" t="s">
        <v>22</v>
      </c>
      <c r="H81" s="11"/>
      <c r="I81" s="121">
        <f>IFERROR(I77/E82,0)</f>
        <v>180.375</v>
      </c>
      <c r="J81" s="111"/>
      <c r="K81" s="110">
        <f>IFERROR(K77/K80,0)</f>
        <v>245.9659091</v>
      </c>
    </row>
    <row r="82">
      <c r="B82" s="55">
        <v>10.0</v>
      </c>
      <c r="C82" s="56" t="s">
        <v>23</v>
      </c>
      <c r="D82" s="11"/>
      <c r="E82" s="57">
        <v>8.0</v>
      </c>
      <c r="F82" s="82"/>
      <c r="G82" s="83"/>
      <c r="H82" s="26"/>
      <c r="I82" s="84"/>
      <c r="J82" s="85"/>
      <c r="K82" s="86"/>
    </row>
    <row r="83">
      <c r="B83" s="55">
        <v>11.0</v>
      </c>
      <c r="C83" s="56" t="s">
        <v>24</v>
      </c>
      <c r="D83" s="11"/>
      <c r="E83" s="60">
        <v>0.1</v>
      </c>
      <c r="F83" s="82"/>
      <c r="G83" s="87" t="s">
        <v>30</v>
      </c>
      <c r="H83" s="26"/>
      <c r="I83" s="88"/>
      <c r="J83" s="89"/>
      <c r="K83" s="90">
        <f>(K77*28)*E84</f>
        <v>10909.08</v>
      </c>
    </row>
    <row r="84">
      <c r="B84" s="91">
        <v>12.0</v>
      </c>
      <c r="C84" s="92" t="s">
        <v>31</v>
      </c>
      <c r="D84" s="11"/>
      <c r="E84" s="93">
        <v>0.18</v>
      </c>
      <c r="F84" s="82"/>
      <c r="G84" s="87" t="s">
        <v>32</v>
      </c>
      <c r="H84" s="26"/>
      <c r="I84" s="94"/>
      <c r="J84" s="95"/>
      <c r="K84" s="90">
        <f>(K77*28)*E85</f>
        <v>606.06</v>
      </c>
    </row>
    <row r="85">
      <c r="B85" s="96"/>
      <c r="C85" s="92" t="s">
        <v>33</v>
      </c>
      <c r="D85" s="11"/>
      <c r="E85" s="93">
        <v>0.01</v>
      </c>
      <c r="F85" s="82"/>
      <c r="G85" s="62"/>
      <c r="H85" s="63"/>
      <c r="I85" s="126"/>
      <c r="J85" s="115"/>
      <c r="K85" s="66"/>
    </row>
    <row r="86">
      <c r="F86" s="70"/>
      <c r="G86" s="61"/>
    </row>
    <row r="87">
      <c r="B87" s="67" t="s">
        <v>25</v>
      </c>
    </row>
    <row r="89">
      <c r="B89" s="8"/>
      <c r="C89" s="8"/>
      <c r="D89" s="8"/>
      <c r="E89" s="8"/>
      <c r="F89" s="70"/>
      <c r="G89" s="8"/>
    </row>
    <row r="90">
      <c r="B90" s="8"/>
      <c r="C90" s="8"/>
      <c r="D90" s="8"/>
      <c r="E90" s="8"/>
      <c r="F90" s="70"/>
      <c r="G90" s="8"/>
    </row>
    <row r="91">
      <c r="B91" s="8"/>
      <c r="C91" s="8"/>
      <c r="D91" s="8"/>
      <c r="E91" s="8"/>
      <c r="F91" s="70"/>
      <c r="G91" s="8"/>
    </row>
    <row r="92">
      <c r="B92" s="8"/>
      <c r="C92" s="8"/>
      <c r="D92" s="8"/>
      <c r="E92" s="8"/>
      <c r="F92" s="70"/>
      <c r="G92" s="8"/>
    </row>
    <row r="93">
      <c r="B93" s="8"/>
      <c r="C93" s="8"/>
      <c r="D93" s="8"/>
      <c r="E93" s="8"/>
      <c r="F93" s="70"/>
      <c r="G93" s="8"/>
    </row>
    <row r="94">
      <c r="B94" s="8"/>
      <c r="C94" s="8"/>
      <c r="D94" s="8"/>
      <c r="E94" s="8"/>
      <c r="F94" s="70"/>
      <c r="G94" s="8"/>
    </row>
    <row r="95">
      <c r="B95" s="8"/>
      <c r="C95" s="8"/>
      <c r="D95" s="8"/>
      <c r="E95" s="8"/>
      <c r="F95" s="70"/>
      <c r="G95" s="8"/>
    </row>
    <row r="96">
      <c r="B96" s="8"/>
      <c r="C96" s="8"/>
      <c r="D96" s="8"/>
      <c r="E96" s="8"/>
      <c r="F96" s="70"/>
      <c r="G96" s="8"/>
    </row>
    <row r="97">
      <c r="B97" s="8"/>
      <c r="C97" s="8"/>
      <c r="D97" s="8"/>
      <c r="E97" s="8"/>
      <c r="F97" s="70"/>
      <c r="G97" s="8"/>
    </row>
    <row r="98">
      <c r="B98" s="8"/>
      <c r="C98" s="8"/>
      <c r="D98" s="8"/>
      <c r="E98" s="8"/>
      <c r="F98" s="70"/>
      <c r="G98" s="8"/>
    </row>
    <row r="99">
      <c r="B99" s="8"/>
      <c r="C99" s="8"/>
      <c r="D99" s="8"/>
      <c r="E99" s="8"/>
      <c r="F99" s="70"/>
      <c r="G99" s="8"/>
    </row>
    <row r="100">
      <c r="B100" s="8"/>
      <c r="C100" s="8"/>
      <c r="D100" s="8"/>
      <c r="E100" s="8"/>
      <c r="F100" s="70"/>
      <c r="G100" s="8"/>
    </row>
    <row r="101">
      <c r="B101" s="8"/>
      <c r="C101" s="8"/>
      <c r="D101" s="8"/>
      <c r="E101" s="8"/>
      <c r="F101" s="70"/>
      <c r="G101" s="8"/>
    </row>
    <row r="102">
      <c r="B102" s="8"/>
      <c r="C102" s="8"/>
      <c r="D102" s="8"/>
      <c r="E102" s="8"/>
      <c r="F102" s="70"/>
      <c r="G102" s="8"/>
    </row>
    <row r="103">
      <c r="B103" s="8"/>
      <c r="C103" s="8"/>
      <c r="D103" s="8"/>
      <c r="E103" s="8"/>
      <c r="F103" s="70"/>
      <c r="G103" s="8"/>
    </row>
    <row r="104">
      <c r="B104" s="8"/>
      <c r="C104" s="8"/>
      <c r="D104" s="8"/>
      <c r="E104" s="8"/>
      <c r="F104" s="70"/>
      <c r="G104" s="8"/>
    </row>
    <row r="105">
      <c r="B105" s="8"/>
      <c r="C105" s="8"/>
      <c r="D105" s="8"/>
      <c r="E105" s="8"/>
      <c r="F105" s="70"/>
      <c r="G105" s="8"/>
    </row>
    <row r="106">
      <c r="B106" s="8"/>
      <c r="C106" s="8"/>
      <c r="D106" s="8"/>
      <c r="E106" s="8"/>
      <c r="F106" s="70"/>
      <c r="G106" s="8"/>
    </row>
    <row r="107">
      <c r="B107" s="8"/>
      <c r="C107" s="8"/>
      <c r="D107" s="8"/>
      <c r="E107" s="8"/>
      <c r="F107" s="70"/>
      <c r="G107" s="8"/>
    </row>
    <row r="108">
      <c r="B108" s="8"/>
      <c r="C108" s="8"/>
      <c r="D108" s="8"/>
      <c r="E108" s="8"/>
      <c r="F108" s="70"/>
      <c r="G108" s="8"/>
    </row>
    <row r="109">
      <c r="B109" s="8"/>
      <c r="C109" s="8"/>
      <c r="D109" s="8"/>
      <c r="E109" s="8"/>
      <c r="F109" s="70"/>
      <c r="G109" s="8"/>
    </row>
    <row r="110">
      <c r="B110" s="8"/>
      <c r="C110" s="8"/>
      <c r="D110" s="8"/>
      <c r="E110" s="8"/>
      <c r="F110" s="70"/>
      <c r="G110" s="8"/>
    </row>
    <row r="111">
      <c r="B111" s="8"/>
      <c r="C111" s="8"/>
      <c r="D111" s="8"/>
      <c r="E111" s="8"/>
      <c r="F111" s="70"/>
      <c r="G111" s="8"/>
    </row>
    <row r="112">
      <c r="B112" s="8"/>
      <c r="C112" s="8"/>
      <c r="D112" s="8"/>
      <c r="E112" s="8"/>
      <c r="F112" s="70"/>
      <c r="G112" s="8"/>
    </row>
    <row r="113">
      <c r="B113" s="8"/>
      <c r="C113" s="8"/>
      <c r="D113" s="8"/>
      <c r="E113" s="8"/>
      <c r="F113" s="70"/>
      <c r="G113" s="8"/>
    </row>
    <row r="114">
      <c r="B114" s="8"/>
      <c r="C114" s="8"/>
      <c r="D114" s="8"/>
      <c r="E114" s="8"/>
      <c r="F114" s="70"/>
      <c r="G114" s="8"/>
    </row>
    <row r="115">
      <c r="B115" s="8"/>
      <c r="C115" s="8"/>
      <c r="D115" s="8"/>
      <c r="E115" s="8"/>
      <c r="F115" s="70"/>
      <c r="G115" s="8"/>
    </row>
    <row r="116">
      <c r="B116" s="8"/>
      <c r="C116" s="8"/>
      <c r="D116" s="8"/>
      <c r="E116" s="8"/>
      <c r="F116" s="70"/>
      <c r="G116" s="8"/>
    </row>
    <row r="117">
      <c r="B117" s="8"/>
      <c r="C117" s="8"/>
      <c r="D117" s="8"/>
      <c r="E117" s="8"/>
      <c r="F117" s="70"/>
      <c r="G117" s="8"/>
    </row>
    <row r="118">
      <c r="B118" s="8"/>
      <c r="C118" s="8"/>
      <c r="D118" s="8"/>
      <c r="E118" s="8"/>
      <c r="F118" s="70"/>
      <c r="G118" s="8"/>
    </row>
    <row r="119">
      <c r="B119" s="8"/>
      <c r="C119" s="8"/>
      <c r="D119" s="8"/>
      <c r="E119" s="8"/>
      <c r="F119" s="70"/>
      <c r="G119" s="8"/>
    </row>
    <row r="120">
      <c r="B120" s="8"/>
      <c r="C120" s="8"/>
      <c r="D120" s="8"/>
      <c r="E120" s="8"/>
      <c r="F120" s="70"/>
      <c r="G120" s="8"/>
    </row>
    <row r="121">
      <c r="B121" s="8"/>
      <c r="C121" s="8"/>
      <c r="D121" s="8"/>
      <c r="E121" s="8"/>
      <c r="F121" s="70"/>
      <c r="G121" s="8"/>
    </row>
    <row r="122">
      <c r="B122" s="8"/>
      <c r="C122" s="8"/>
      <c r="D122" s="8"/>
      <c r="E122" s="8"/>
      <c r="F122" s="70"/>
      <c r="G122" s="8"/>
    </row>
    <row r="123">
      <c r="B123" s="8"/>
      <c r="C123" s="8"/>
      <c r="D123" s="8"/>
      <c r="E123" s="8"/>
      <c r="F123" s="70"/>
      <c r="G123" s="8"/>
    </row>
    <row r="124">
      <c r="B124" s="8"/>
      <c r="C124" s="8"/>
      <c r="D124" s="8"/>
      <c r="E124" s="8"/>
      <c r="F124" s="70"/>
      <c r="G124" s="8"/>
    </row>
    <row r="125">
      <c r="B125" s="8"/>
      <c r="C125" s="8"/>
      <c r="D125" s="8"/>
      <c r="E125" s="8"/>
      <c r="F125" s="70"/>
      <c r="G125" s="8"/>
    </row>
    <row r="126">
      <c r="B126" s="8"/>
      <c r="C126" s="8"/>
      <c r="D126" s="8"/>
      <c r="E126" s="8"/>
      <c r="F126" s="70"/>
      <c r="G126" s="8"/>
    </row>
    <row r="127">
      <c r="B127" s="8"/>
      <c r="C127" s="8"/>
      <c r="D127" s="8"/>
      <c r="E127" s="8"/>
      <c r="F127" s="70"/>
      <c r="G127" s="8"/>
    </row>
    <row r="128">
      <c r="B128" s="8"/>
      <c r="C128" s="8"/>
      <c r="D128" s="8"/>
      <c r="E128" s="8"/>
      <c r="F128" s="70"/>
      <c r="G128" s="8"/>
    </row>
    <row r="129">
      <c r="B129" s="8"/>
      <c r="C129" s="8"/>
      <c r="D129" s="8"/>
      <c r="E129" s="8"/>
      <c r="F129" s="70"/>
      <c r="G129" s="8"/>
    </row>
    <row r="130">
      <c r="B130" s="8"/>
      <c r="C130" s="8"/>
      <c r="D130" s="8"/>
      <c r="E130" s="8"/>
      <c r="F130" s="70"/>
      <c r="G130" s="8"/>
    </row>
    <row r="131">
      <c r="B131" s="8"/>
      <c r="C131" s="8"/>
      <c r="D131" s="8"/>
      <c r="E131" s="8"/>
      <c r="F131" s="70"/>
      <c r="G131" s="8"/>
    </row>
    <row r="132">
      <c r="B132" s="8"/>
      <c r="C132" s="8"/>
      <c r="D132" s="8"/>
      <c r="E132" s="8"/>
      <c r="F132" s="70"/>
      <c r="G132" s="8"/>
    </row>
    <row r="133">
      <c r="B133" s="8"/>
      <c r="C133" s="8"/>
      <c r="D133" s="8"/>
      <c r="E133" s="8"/>
      <c r="F133" s="70"/>
      <c r="G133" s="8"/>
    </row>
    <row r="134">
      <c r="B134" s="8"/>
      <c r="C134" s="8"/>
      <c r="D134" s="8"/>
      <c r="E134" s="8"/>
      <c r="F134" s="70"/>
      <c r="G134" s="8"/>
    </row>
    <row r="135">
      <c r="B135" s="8"/>
      <c r="C135" s="8"/>
      <c r="D135" s="8"/>
      <c r="E135" s="8"/>
      <c r="F135" s="70"/>
      <c r="G135" s="8"/>
    </row>
    <row r="136">
      <c r="B136" s="8"/>
      <c r="C136" s="8"/>
      <c r="D136" s="8"/>
      <c r="E136" s="8"/>
      <c r="F136" s="70"/>
      <c r="G136" s="8"/>
    </row>
    <row r="137">
      <c r="B137" s="8"/>
      <c r="C137" s="8"/>
      <c r="D137" s="8"/>
      <c r="E137" s="8"/>
      <c r="F137" s="70"/>
      <c r="G137" s="8"/>
    </row>
    <row r="138">
      <c r="B138" s="8"/>
      <c r="C138" s="8"/>
      <c r="D138" s="8"/>
      <c r="E138" s="8"/>
      <c r="F138" s="70"/>
      <c r="G138" s="8"/>
    </row>
    <row r="139">
      <c r="B139" s="8"/>
      <c r="C139" s="8"/>
      <c r="D139" s="8"/>
      <c r="E139" s="8"/>
      <c r="F139" s="70"/>
      <c r="G139" s="8"/>
    </row>
    <row r="140">
      <c r="B140" s="8"/>
      <c r="C140" s="8"/>
      <c r="D140" s="8"/>
      <c r="E140" s="8"/>
      <c r="F140" s="70"/>
      <c r="G140" s="8"/>
    </row>
    <row r="141">
      <c r="B141" s="8"/>
      <c r="C141" s="8"/>
      <c r="D141" s="8"/>
      <c r="E141" s="8"/>
      <c r="F141" s="70"/>
      <c r="G141" s="8"/>
    </row>
    <row r="142">
      <c r="B142" s="8"/>
      <c r="C142" s="8"/>
      <c r="D142" s="8"/>
      <c r="E142" s="8"/>
      <c r="F142" s="70"/>
      <c r="G142" s="8"/>
    </row>
    <row r="143">
      <c r="B143" s="8"/>
      <c r="C143" s="8"/>
      <c r="D143" s="8"/>
      <c r="E143" s="8"/>
      <c r="F143" s="70"/>
      <c r="G143" s="8"/>
    </row>
    <row r="144">
      <c r="B144" s="8"/>
      <c r="C144" s="8"/>
      <c r="D144" s="8"/>
      <c r="E144" s="8"/>
      <c r="F144" s="70"/>
      <c r="G144" s="8"/>
    </row>
    <row r="145">
      <c r="B145" s="8"/>
      <c r="C145" s="8"/>
      <c r="D145" s="8"/>
      <c r="E145" s="8"/>
      <c r="F145" s="70"/>
      <c r="G145" s="8"/>
    </row>
    <row r="146">
      <c r="B146" s="8"/>
      <c r="C146" s="8"/>
      <c r="D146" s="8"/>
      <c r="E146" s="8"/>
      <c r="F146" s="70"/>
      <c r="G146" s="8"/>
    </row>
    <row r="147">
      <c r="B147" s="8"/>
      <c r="C147" s="8"/>
      <c r="D147" s="8"/>
      <c r="E147" s="8"/>
      <c r="F147" s="70"/>
      <c r="G147" s="8"/>
    </row>
    <row r="148">
      <c r="B148" s="8"/>
      <c r="C148" s="8"/>
      <c r="D148" s="8"/>
      <c r="E148" s="8"/>
      <c r="F148" s="70"/>
      <c r="G148" s="8"/>
    </row>
    <row r="149">
      <c r="B149" s="8"/>
      <c r="C149" s="8"/>
      <c r="D149" s="8"/>
      <c r="E149" s="8"/>
      <c r="F149" s="70"/>
      <c r="G149" s="8"/>
    </row>
    <row r="150">
      <c r="B150" s="8"/>
      <c r="C150" s="8"/>
      <c r="D150" s="8"/>
      <c r="E150" s="8"/>
      <c r="F150" s="70"/>
      <c r="G150" s="8"/>
    </row>
    <row r="151">
      <c r="B151" s="8"/>
      <c r="C151" s="8"/>
      <c r="D151" s="8"/>
      <c r="E151" s="8"/>
      <c r="F151" s="70"/>
      <c r="G151" s="8"/>
    </row>
    <row r="152">
      <c r="B152" s="8"/>
      <c r="C152" s="8"/>
      <c r="D152" s="8"/>
      <c r="E152" s="8"/>
      <c r="F152" s="70"/>
      <c r="G152" s="8"/>
    </row>
    <row r="153">
      <c r="B153" s="8"/>
      <c r="C153" s="8"/>
      <c r="D153" s="8"/>
      <c r="E153" s="8"/>
      <c r="F153" s="70"/>
      <c r="G153" s="8"/>
    </row>
    <row r="154">
      <c r="B154" s="8"/>
      <c r="C154" s="8"/>
      <c r="D154" s="8"/>
      <c r="E154" s="8"/>
      <c r="F154" s="70"/>
      <c r="G154" s="8"/>
    </row>
    <row r="155">
      <c r="B155" s="8"/>
      <c r="C155" s="8"/>
      <c r="D155" s="8"/>
      <c r="E155" s="8"/>
      <c r="F155" s="70"/>
      <c r="G155" s="8"/>
    </row>
    <row r="156">
      <c r="B156" s="8"/>
      <c r="C156" s="8"/>
      <c r="D156" s="8"/>
      <c r="E156" s="8"/>
      <c r="F156" s="70"/>
      <c r="G156" s="8"/>
    </row>
    <row r="157">
      <c r="B157" s="8"/>
      <c r="C157" s="8"/>
      <c r="D157" s="8"/>
      <c r="E157" s="8"/>
      <c r="F157" s="70"/>
      <c r="G157" s="8"/>
    </row>
    <row r="158">
      <c r="B158" s="8"/>
      <c r="C158" s="8"/>
      <c r="D158" s="8"/>
      <c r="E158" s="8"/>
      <c r="F158" s="70"/>
      <c r="G158" s="8"/>
    </row>
    <row r="159">
      <c r="B159" s="8"/>
      <c r="C159" s="8"/>
      <c r="D159" s="8"/>
      <c r="E159" s="8"/>
      <c r="F159" s="70"/>
      <c r="G159" s="8"/>
    </row>
    <row r="160">
      <c r="B160" s="8"/>
      <c r="C160" s="8"/>
      <c r="D160" s="8"/>
      <c r="E160" s="8"/>
      <c r="F160" s="70"/>
      <c r="G160" s="8"/>
    </row>
    <row r="161">
      <c r="B161" s="8"/>
      <c r="C161" s="8"/>
      <c r="D161" s="8"/>
      <c r="E161" s="8"/>
      <c r="F161" s="70"/>
      <c r="G161" s="8"/>
    </row>
    <row r="162">
      <c r="B162" s="8"/>
      <c r="C162" s="8"/>
      <c r="D162" s="8"/>
      <c r="E162" s="8"/>
      <c r="F162" s="70"/>
      <c r="G162" s="8"/>
    </row>
    <row r="163">
      <c r="B163" s="8"/>
      <c r="C163" s="8"/>
      <c r="D163" s="8"/>
      <c r="E163" s="8"/>
      <c r="F163" s="70"/>
      <c r="G163" s="8"/>
    </row>
    <row r="164">
      <c r="B164" s="8"/>
      <c r="C164" s="8"/>
      <c r="D164" s="8"/>
      <c r="E164" s="8"/>
      <c r="F164" s="70"/>
      <c r="G164" s="8"/>
    </row>
    <row r="165">
      <c r="B165" s="8"/>
      <c r="C165" s="8"/>
      <c r="D165" s="8"/>
      <c r="E165" s="8"/>
      <c r="F165" s="70"/>
      <c r="G165" s="8"/>
    </row>
    <row r="166">
      <c r="B166" s="8"/>
      <c r="C166" s="8"/>
      <c r="D166" s="8"/>
      <c r="E166" s="8"/>
      <c r="F166" s="70"/>
      <c r="G166" s="8"/>
    </row>
    <row r="167">
      <c r="B167" s="8"/>
      <c r="C167" s="8"/>
      <c r="D167" s="8"/>
      <c r="E167" s="8"/>
      <c r="F167" s="70"/>
      <c r="G167" s="8"/>
    </row>
    <row r="168">
      <c r="B168" s="8"/>
      <c r="C168" s="8"/>
      <c r="D168" s="8"/>
      <c r="E168" s="8"/>
      <c r="F168" s="70"/>
      <c r="G168" s="8"/>
    </row>
    <row r="169">
      <c r="B169" s="8"/>
      <c r="C169" s="8"/>
      <c r="D169" s="8"/>
      <c r="E169" s="8"/>
      <c r="F169" s="70"/>
      <c r="G169" s="8"/>
    </row>
    <row r="170">
      <c r="B170" s="8"/>
      <c r="C170" s="8"/>
      <c r="D170" s="8"/>
      <c r="E170" s="8"/>
      <c r="F170" s="70"/>
      <c r="G170" s="8"/>
    </row>
    <row r="171">
      <c r="B171" s="8"/>
      <c r="C171" s="8"/>
      <c r="D171" s="8"/>
      <c r="E171" s="8"/>
      <c r="F171" s="70"/>
      <c r="G171" s="8"/>
    </row>
    <row r="172">
      <c r="B172" s="8"/>
      <c r="C172" s="8"/>
      <c r="D172" s="8"/>
      <c r="E172" s="8"/>
      <c r="F172" s="70"/>
      <c r="G172" s="8"/>
    </row>
    <row r="173">
      <c r="B173" s="8"/>
      <c r="C173" s="8"/>
      <c r="D173" s="8"/>
      <c r="E173" s="8"/>
      <c r="F173" s="70"/>
      <c r="G173" s="8"/>
    </row>
    <row r="174">
      <c r="B174" s="8"/>
      <c r="C174" s="8"/>
      <c r="D174" s="8"/>
      <c r="E174" s="8"/>
      <c r="F174" s="70"/>
      <c r="G174" s="8"/>
    </row>
    <row r="175">
      <c r="B175" s="8"/>
      <c r="C175" s="8"/>
      <c r="D175" s="8"/>
      <c r="E175" s="8"/>
      <c r="F175" s="70"/>
      <c r="G175" s="8"/>
    </row>
    <row r="176">
      <c r="B176" s="8"/>
      <c r="C176" s="8"/>
      <c r="D176" s="8"/>
      <c r="E176" s="8"/>
      <c r="F176" s="70"/>
      <c r="G176" s="8"/>
    </row>
    <row r="177">
      <c r="B177" s="8"/>
      <c r="C177" s="8"/>
      <c r="D177" s="8"/>
      <c r="E177" s="8"/>
      <c r="F177" s="70"/>
      <c r="G177" s="8"/>
    </row>
    <row r="178">
      <c r="B178" s="8"/>
      <c r="C178" s="8"/>
      <c r="D178" s="8"/>
      <c r="E178" s="8"/>
      <c r="F178" s="70"/>
      <c r="G178" s="8"/>
    </row>
    <row r="179">
      <c r="B179" s="8"/>
      <c r="C179" s="8"/>
      <c r="D179" s="8"/>
      <c r="E179" s="8"/>
      <c r="F179" s="70"/>
      <c r="G179" s="8"/>
    </row>
    <row r="180">
      <c r="B180" s="8"/>
      <c r="C180" s="8"/>
      <c r="D180" s="8"/>
      <c r="E180" s="8"/>
      <c r="F180" s="70"/>
      <c r="G180" s="8"/>
    </row>
    <row r="181">
      <c r="B181" s="8"/>
      <c r="C181" s="8"/>
      <c r="D181" s="8"/>
      <c r="E181" s="8"/>
      <c r="F181" s="70"/>
      <c r="G181" s="8"/>
    </row>
    <row r="182">
      <c r="B182" s="8"/>
      <c r="C182" s="8"/>
      <c r="D182" s="8"/>
      <c r="E182" s="8"/>
      <c r="F182" s="70"/>
      <c r="G182" s="8"/>
    </row>
    <row r="183">
      <c r="B183" s="8"/>
      <c r="C183" s="8"/>
      <c r="D183" s="8"/>
      <c r="E183" s="8"/>
      <c r="F183" s="70"/>
      <c r="G183" s="8"/>
    </row>
    <row r="184">
      <c r="B184" s="8"/>
      <c r="C184" s="8"/>
      <c r="D184" s="8"/>
      <c r="E184" s="8"/>
      <c r="F184" s="70"/>
      <c r="G184" s="8"/>
    </row>
    <row r="185">
      <c r="B185" s="8"/>
      <c r="C185" s="8"/>
      <c r="D185" s="8"/>
      <c r="E185" s="8"/>
      <c r="F185" s="70"/>
      <c r="G185" s="8"/>
    </row>
    <row r="186">
      <c r="B186" s="8"/>
      <c r="C186" s="8"/>
      <c r="D186" s="8"/>
      <c r="E186" s="8"/>
      <c r="F186" s="70"/>
      <c r="G186" s="8"/>
    </row>
    <row r="187">
      <c r="B187" s="8"/>
      <c r="C187" s="8"/>
      <c r="D187" s="8"/>
      <c r="E187" s="8"/>
      <c r="F187" s="70"/>
      <c r="G187" s="8"/>
    </row>
    <row r="188">
      <c r="B188" s="8"/>
      <c r="C188" s="8"/>
      <c r="D188" s="8"/>
      <c r="E188" s="8"/>
      <c r="F188" s="70"/>
      <c r="G188" s="8"/>
    </row>
    <row r="189">
      <c r="B189" s="8"/>
      <c r="C189" s="8"/>
      <c r="D189" s="8"/>
      <c r="E189" s="8"/>
      <c r="F189" s="70"/>
      <c r="G189" s="8"/>
    </row>
    <row r="190">
      <c r="B190" s="8"/>
      <c r="C190" s="8"/>
      <c r="D190" s="8"/>
      <c r="E190" s="8"/>
      <c r="F190" s="70"/>
      <c r="G190" s="8"/>
    </row>
    <row r="191">
      <c r="B191" s="8"/>
      <c r="C191" s="8"/>
      <c r="D191" s="8"/>
      <c r="E191" s="8"/>
      <c r="F191" s="70"/>
      <c r="G191" s="8"/>
    </row>
    <row r="192">
      <c r="B192" s="8"/>
      <c r="C192" s="8"/>
      <c r="D192" s="8"/>
      <c r="E192" s="8"/>
      <c r="F192" s="70"/>
      <c r="G192" s="8"/>
    </row>
    <row r="193">
      <c r="B193" s="8"/>
      <c r="C193" s="8"/>
      <c r="D193" s="8"/>
      <c r="E193" s="8"/>
      <c r="F193" s="70"/>
      <c r="G193" s="8"/>
    </row>
    <row r="194">
      <c r="B194" s="8"/>
      <c r="C194" s="8"/>
      <c r="D194" s="8"/>
      <c r="E194" s="8"/>
      <c r="F194" s="70"/>
      <c r="G194" s="8"/>
    </row>
    <row r="195">
      <c r="B195" s="8"/>
      <c r="C195" s="8"/>
      <c r="D195" s="8"/>
      <c r="E195" s="8"/>
      <c r="F195" s="70"/>
      <c r="G195" s="8"/>
    </row>
    <row r="196">
      <c r="B196" s="8"/>
      <c r="C196" s="8"/>
      <c r="D196" s="8"/>
      <c r="E196" s="8"/>
      <c r="F196" s="70"/>
      <c r="G196" s="8"/>
    </row>
    <row r="197">
      <c r="B197" s="8"/>
      <c r="C197" s="8"/>
      <c r="D197" s="8"/>
      <c r="E197" s="8"/>
      <c r="F197" s="70"/>
      <c r="G197" s="8"/>
    </row>
    <row r="198">
      <c r="B198" s="8"/>
      <c r="C198" s="8"/>
      <c r="D198" s="8"/>
      <c r="E198" s="8"/>
      <c r="F198" s="70"/>
      <c r="G198" s="8"/>
    </row>
    <row r="199">
      <c r="B199" s="8"/>
      <c r="C199" s="8"/>
      <c r="D199" s="8"/>
      <c r="E199" s="8"/>
      <c r="F199" s="70"/>
      <c r="G199" s="8"/>
    </row>
    <row r="200">
      <c r="B200" s="8"/>
      <c r="C200" s="8"/>
      <c r="D200" s="8"/>
      <c r="E200" s="8"/>
      <c r="F200" s="70"/>
      <c r="G200" s="8"/>
    </row>
    <row r="201">
      <c r="B201" s="8"/>
      <c r="C201" s="8"/>
      <c r="D201" s="8"/>
      <c r="E201" s="8"/>
      <c r="F201" s="70"/>
      <c r="G201" s="8"/>
    </row>
    <row r="202">
      <c r="B202" s="8"/>
      <c r="C202" s="8"/>
      <c r="D202" s="8"/>
      <c r="E202" s="8"/>
      <c r="F202" s="70"/>
      <c r="G202" s="8"/>
    </row>
    <row r="203">
      <c r="B203" s="8"/>
      <c r="C203" s="8"/>
      <c r="D203" s="8"/>
      <c r="E203" s="8"/>
      <c r="F203" s="70"/>
      <c r="G203" s="8"/>
    </row>
    <row r="204">
      <c r="B204" s="8"/>
      <c r="C204" s="8"/>
      <c r="D204" s="8"/>
      <c r="E204" s="8"/>
      <c r="F204" s="70"/>
      <c r="G204" s="8"/>
    </row>
    <row r="205">
      <c r="B205" s="8"/>
      <c r="C205" s="8"/>
      <c r="D205" s="8"/>
      <c r="E205" s="8"/>
      <c r="F205" s="70"/>
      <c r="G205" s="8"/>
    </row>
    <row r="206">
      <c r="B206" s="8"/>
      <c r="C206" s="8"/>
      <c r="D206" s="8"/>
      <c r="E206" s="8"/>
      <c r="F206" s="70"/>
      <c r="G206" s="8"/>
    </row>
    <row r="207">
      <c r="B207" s="8"/>
      <c r="C207" s="8"/>
      <c r="D207" s="8"/>
      <c r="E207" s="8"/>
      <c r="F207" s="70"/>
      <c r="G207" s="8"/>
    </row>
    <row r="208">
      <c r="B208" s="8"/>
      <c r="C208" s="8"/>
      <c r="D208" s="8"/>
      <c r="E208" s="8"/>
      <c r="F208" s="70"/>
      <c r="G208" s="8"/>
    </row>
    <row r="209">
      <c r="B209" s="8"/>
      <c r="C209" s="8"/>
      <c r="D209" s="8"/>
      <c r="E209" s="8"/>
      <c r="F209" s="70"/>
      <c r="G209" s="8"/>
    </row>
    <row r="210">
      <c r="B210" s="8"/>
      <c r="C210" s="8"/>
      <c r="D210" s="8"/>
      <c r="E210" s="8"/>
      <c r="F210" s="70"/>
      <c r="G210" s="8"/>
    </row>
    <row r="211">
      <c r="B211" s="8"/>
      <c r="C211" s="8"/>
      <c r="D211" s="8"/>
      <c r="E211" s="8"/>
      <c r="F211" s="70"/>
      <c r="G211" s="8"/>
    </row>
    <row r="212">
      <c r="B212" s="8"/>
      <c r="C212" s="8"/>
      <c r="D212" s="8"/>
      <c r="E212" s="8"/>
      <c r="F212" s="70"/>
      <c r="G212" s="8"/>
    </row>
    <row r="213">
      <c r="B213" s="8"/>
      <c r="C213" s="8"/>
      <c r="D213" s="8"/>
      <c r="E213" s="8"/>
      <c r="F213" s="70"/>
      <c r="G213" s="8"/>
    </row>
    <row r="214">
      <c r="B214" s="8"/>
      <c r="C214" s="8"/>
      <c r="D214" s="8"/>
      <c r="E214" s="8"/>
      <c r="F214" s="70"/>
      <c r="G214" s="8"/>
    </row>
    <row r="215">
      <c r="B215" s="8"/>
      <c r="C215" s="8"/>
      <c r="D215" s="8"/>
      <c r="E215" s="8"/>
      <c r="F215" s="70"/>
      <c r="G215" s="8"/>
    </row>
    <row r="216">
      <c r="B216" s="8"/>
      <c r="C216" s="8"/>
      <c r="D216" s="8"/>
      <c r="E216" s="8"/>
      <c r="F216" s="70"/>
      <c r="G216" s="8"/>
    </row>
    <row r="217">
      <c r="B217" s="8"/>
      <c r="C217" s="8"/>
      <c r="D217" s="8"/>
      <c r="E217" s="8"/>
      <c r="F217" s="70"/>
      <c r="G217" s="8"/>
    </row>
    <row r="218">
      <c r="B218" s="8"/>
      <c r="C218" s="8"/>
      <c r="D218" s="8"/>
      <c r="E218" s="8"/>
      <c r="F218" s="70"/>
      <c r="G218" s="8"/>
    </row>
    <row r="219">
      <c r="B219" s="8"/>
      <c r="C219" s="8"/>
      <c r="D219" s="8"/>
      <c r="E219" s="8"/>
      <c r="F219" s="70"/>
      <c r="G219" s="8"/>
    </row>
    <row r="220">
      <c r="B220" s="8"/>
      <c r="C220" s="8"/>
      <c r="D220" s="8"/>
      <c r="E220" s="8"/>
      <c r="F220" s="70"/>
      <c r="G220" s="8"/>
    </row>
    <row r="221">
      <c r="B221" s="8"/>
      <c r="C221" s="8"/>
      <c r="D221" s="8"/>
      <c r="E221" s="8"/>
      <c r="F221" s="70"/>
      <c r="G221" s="8"/>
    </row>
    <row r="222">
      <c r="B222" s="8"/>
      <c r="C222" s="8"/>
      <c r="D222" s="8"/>
      <c r="E222" s="8"/>
      <c r="F222" s="70"/>
      <c r="G222" s="8"/>
    </row>
    <row r="223">
      <c r="B223" s="8"/>
      <c r="C223" s="8"/>
      <c r="D223" s="8"/>
      <c r="E223" s="8"/>
      <c r="F223" s="70"/>
      <c r="G223" s="8"/>
    </row>
    <row r="224">
      <c r="B224" s="8"/>
      <c r="C224" s="8"/>
      <c r="D224" s="8"/>
      <c r="E224" s="8"/>
      <c r="F224" s="70"/>
      <c r="G224" s="8"/>
    </row>
    <row r="225">
      <c r="B225" s="8"/>
      <c r="C225" s="8"/>
      <c r="D225" s="8"/>
      <c r="E225" s="8"/>
      <c r="F225" s="70"/>
      <c r="G225" s="8"/>
    </row>
    <row r="226">
      <c r="B226" s="8"/>
      <c r="C226" s="8"/>
      <c r="D226" s="8"/>
      <c r="E226" s="8"/>
      <c r="F226" s="70"/>
      <c r="G226" s="8"/>
    </row>
    <row r="227">
      <c r="B227" s="8"/>
      <c r="C227" s="8"/>
      <c r="D227" s="8"/>
      <c r="E227" s="8"/>
      <c r="F227" s="70"/>
      <c r="G227" s="8"/>
    </row>
    <row r="228">
      <c r="B228" s="8"/>
      <c r="C228" s="8"/>
      <c r="D228" s="8"/>
      <c r="E228" s="8"/>
      <c r="F228" s="70"/>
      <c r="G228" s="8"/>
    </row>
    <row r="229">
      <c r="B229" s="8"/>
      <c r="C229" s="8"/>
      <c r="D229" s="8"/>
      <c r="E229" s="8"/>
      <c r="F229" s="70"/>
      <c r="G229" s="8"/>
    </row>
    <row r="230">
      <c r="B230" s="8"/>
      <c r="C230" s="8"/>
      <c r="D230" s="8"/>
      <c r="E230" s="8"/>
      <c r="F230" s="70"/>
      <c r="G230" s="8"/>
    </row>
    <row r="231">
      <c r="B231" s="8"/>
      <c r="C231" s="8"/>
      <c r="D231" s="8"/>
      <c r="E231" s="8"/>
      <c r="F231" s="70"/>
      <c r="G231" s="8"/>
    </row>
    <row r="232">
      <c r="B232" s="8"/>
      <c r="C232" s="8"/>
      <c r="D232" s="8"/>
      <c r="E232" s="8"/>
      <c r="F232" s="70"/>
      <c r="G232" s="8"/>
    </row>
    <row r="233">
      <c r="B233" s="8"/>
      <c r="C233" s="8"/>
      <c r="D233" s="8"/>
      <c r="E233" s="8"/>
      <c r="F233" s="70"/>
      <c r="G233" s="8"/>
    </row>
    <row r="234">
      <c r="B234" s="8"/>
      <c r="C234" s="8"/>
      <c r="D234" s="8"/>
      <c r="E234" s="8"/>
      <c r="F234" s="70"/>
      <c r="G234" s="8"/>
    </row>
    <row r="235">
      <c r="B235" s="8"/>
      <c r="C235" s="8"/>
      <c r="D235" s="8"/>
      <c r="E235" s="8"/>
      <c r="F235" s="70"/>
      <c r="G235" s="8"/>
    </row>
    <row r="236">
      <c r="B236" s="8"/>
      <c r="C236" s="8"/>
      <c r="D236" s="8"/>
      <c r="E236" s="8"/>
      <c r="F236" s="70"/>
      <c r="G236" s="8"/>
    </row>
    <row r="237">
      <c r="B237" s="8"/>
      <c r="C237" s="8"/>
      <c r="D237" s="8"/>
      <c r="E237" s="8"/>
      <c r="F237" s="70"/>
      <c r="G237" s="8"/>
    </row>
    <row r="238">
      <c r="B238" s="8"/>
      <c r="C238" s="8"/>
      <c r="D238" s="8"/>
      <c r="E238" s="8"/>
      <c r="F238" s="70"/>
      <c r="G238" s="8"/>
    </row>
    <row r="239">
      <c r="B239" s="8"/>
      <c r="C239" s="8"/>
      <c r="D239" s="8"/>
      <c r="E239" s="8"/>
      <c r="F239" s="70"/>
      <c r="G239" s="8"/>
    </row>
    <row r="240">
      <c r="B240" s="8"/>
      <c r="C240" s="8"/>
      <c r="D240" s="8"/>
      <c r="E240" s="8"/>
      <c r="F240" s="70"/>
      <c r="G240" s="8"/>
    </row>
    <row r="241">
      <c r="B241" s="8"/>
      <c r="C241" s="8"/>
      <c r="D241" s="8"/>
      <c r="E241" s="8"/>
      <c r="F241" s="70"/>
      <c r="G241" s="8"/>
    </row>
    <row r="242">
      <c r="B242" s="8"/>
      <c r="C242" s="8"/>
      <c r="D242" s="8"/>
      <c r="E242" s="8"/>
      <c r="F242" s="70"/>
      <c r="G242" s="8"/>
    </row>
    <row r="243">
      <c r="B243" s="8"/>
      <c r="C243" s="8"/>
      <c r="D243" s="8"/>
      <c r="E243" s="8"/>
      <c r="F243" s="70"/>
      <c r="G243" s="8"/>
    </row>
    <row r="244">
      <c r="B244" s="8"/>
      <c r="C244" s="8"/>
      <c r="D244" s="8"/>
      <c r="E244" s="8"/>
      <c r="F244" s="70"/>
      <c r="G244" s="8"/>
    </row>
    <row r="245">
      <c r="B245" s="8"/>
      <c r="C245" s="8"/>
      <c r="D245" s="8"/>
      <c r="E245" s="8"/>
      <c r="F245" s="70"/>
      <c r="G245" s="8"/>
    </row>
    <row r="246">
      <c r="B246" s="8"/>
      <c r="C246" s="8"/>
      <c r="D246" s="8"/>
      <c r="E246" s="8"/>
      <c r="F246" s="70"/>
      <c r="G246" s="8"/>
    </row>
    <row r="247">
      <c r="B247" s="8"/>
      <c r="C247" s="8"/>
      <c r="D247" s="8"/>
      <c r="E247" s="8"/>
      <c r="F247" s="70"/>
      <c r="G247" s="8"/>
    </row>
    <row r="248">
      <c r="B248" s="8"/>
      <c r="C248" s="8"/>
      <c r="D248" s="8"/>
      <c r="E248" s="8"/>
      <c r="F248" s="70"/>
      <c r="G248" s="8"/>
    </row>
    <row r="249">
      <c r="B249" s="8"/>
      <c r="C249" s="8"/>
      <c r="D249" s="8"/>
      <c r="E249" s="8"/>
      <c r="F249" s="70"/>
      <c r="G249" s="8"/>
    </row>
    <row r="250">
      <c r="B250" s="8"/>
      <c r="C250" s="8"/>
      <c r="D250" s="8"/>
      <c r="E250" s="8"/>
      <c r="F250" s="70"/>
      <c r="G250" s="8"/>
    </row>
    <row r="251">
      <c r="B251" s="8"/>
      <c r="C251" s="8"/>
      <c r="D251" s="8"/>
      <c r="E251" s="8"/>
      <c r="F251" s="70"/>
      <c r="G251" s="8"/>
    </row>
    <row r="252">
      <c r="B252" s="8"/>
      <c r="C252" s="8"/>
      <c r="D252" s="8"/>
      <c r="E252" s="8"/>
      <c r="F252" s="70"/>
      <c r="G252" s="8"/>
    </row>
    <row r="253">
      <c r="B253" s="8"/>
      <c r="C253" s="8"/>
      <c r="D253" s="8"/>
      <c r="E253" s="8"/>
      <c r="F253" s="70"/>
      <c r="G253" s="8"/>
    </row>
    <row r="254">
      <c r="B254" s="8"/>
      <c r="C254" s="8"/>
      <c r="D254" s="8"/>
      <c r="E254" s="8"/>
      <c r="F254" s="70"/>
      <c r="G254" s="8"/>
    </row>
    <row r="255">
      <c r="B255" s="8"/>
      <c r="C255" s="8"/>
      <c r="D255" s="8"/>
      <c r="E255" s="8"/>
      <c r="F255" s="70"/>
      <c r="G255" s="8"/>
    </row>
    <row r="256">
      <c r="B256" s="8"/>
      <c r="C256" s="8"/>
      <c r="D256" s="8"/>
      <c r="E256" s="8"/>
      <c r="F256" s="70"/>
      <c r="G256" s="8"/>
    </row>
    <row r="257">
      <c r="B257" s="8"/>
      <c r="C257" s="8"/>
      <c r="D257" s="8"/>
      <c r="E257" s="8"/>
      <c r="F257" s="70"/>
      <c r="G257" s="8"/>
    </row>
    <row r="258">
      <c r="B258" s="8"/>
      <c r="C258" s="8"/>
      <c r="D258" s="8"/>
      <c r="E258" s="8"/>
      <c r="F258" s="70"/>
      <c r="G258" s="8"/>
    </row>
    <row r="259">
      <c r="B259" s="8"/>
      <c r="C259" s="8"/>
      <c r="D259" s="8"/>
      <c r="E259" s="8"/>
      <c r="F259" s="70"/>
      <c r="G259" s="8"/>
    </row>
    <row r="260">
      <c r="B260" s="8"/>
      <c r="C260" s="8"/>
      <c r="D260" s="8"/>
      <c r="E260" s="8"/>
      <c r="F260" s="70"/>
      <c r="G260" s="8"/>
    </row>
    <row r="261">
      <c r="B261" s="8"/>
      <c r="C261" s="8"/>
      <c r="D261" s="8"/>
      <c r="E261" s="8"/>
      <c r="F261" s="70"/>
      <c r="G261" s="8"/>
    </row>
    <row r="262">
      <c r="B262" s="8"/>
      <c r="C262" s="8"/>
      <c r="D262" s="8"/>
      <c r="E262" s="8"/>
      <c r="F262" s="70"/>
      <c r="G262" s="8"/>
    </row>
    <row r="263">
      <c r="B263" s="8"/>
      <c r="C263" s="8"/>
      <c r="D263" s="8"/>
      <c r="E263" s="8"/>
      <c r="F263" s="70"/>
      <c r="G263" s="8"/>
    </row>
    <row r="264">
      <c r="B264" s="8"/>
      <c r="C264" s="8"/>
      <c r="D264" s="8"/>
      <c r="E264" s="8"/>
      <c r="F264" s="70"/>
      <c r="G264" s="8"/>
    </row>
    <row r="265">
      <c r="B265" s="8"/>
      <c r="C265" s="8"/>
      <c r="D265" s="8"/>
      <c r="E265" s="8"/>
      <c r="F265" s="70"/>
      <c r="G265" s="8"/>
    </row>
    <row r="266">
      <c r="B266" s="8"/>
      <c r="C266" s="8"/>
      <c r="D266" s="8"/>
      <c r="E266" s="8"/>
      <c r="F266" s="70"/>
      <c r="G266" s="8"/>
    </row>
    <row r="267">
      <c r="B267" s="8"/>
      <c r="C267" s="8"/>
      <c r="D267" s="8"/>
      <c r="E267" s="8"/>
      <c r="F267" s="70"/>
      <c r="G267" s="8"/>
    </row>
    <row r="268">
      <c r="B268" s="8"/>
      <c r="C268" s="8"/>
      <c r="D268" s="8"/>
      <c r="E268" s="8"/>
      <c r="F268" s="70"/>
      <c r="G268" s="8"/>
    </row>
    <row r="269">
      <c r="B269" s="8"/>
      <c r="C269" s="8"/>
      <c r="D269" s="8"/>
      <c r="E269" s="8"/>
      <c r="F269" s="70"/>
      <c r="G269" s="8"/>
    </row>
    <row r="270">
      <c r="B270" s="8"/>
      <c r="C270" s="8"/>
      <c r="D270" s="8"/>
      <c r="E270" s="8"/>
      <c r="F270" s="70"/>
      <c r="G270" s="8"/>
    </row>
    <row r="271">
      <c r="B271" s="8"/>
      <c r="C271" s="8"/>
      <c r="D271" s="8"/>
      <c r="E271" s="8"/>
      <c r="F271" s="70"/>
      <c r="G271" s="8"/>
    </row>
    <row r="272">
      <c r="B272" s="8"/>
      <c r="C272" s="8"/>
      <c r="D272" s="8"/>
      <c r="E272" s="8"/>
      <c r="F272" s="70"/>
      <c r="G272" s="8"/>
    </row>
    <row r="273">
      <c r="B273" s="8"/>
      <c r="C273" s="8"/>
      <c r="D273" s="8"/>
      <c r="E273" s="8"/>
      <c r="F273" s="70"/>
      <c r="G273" s="8"/>
    </row>
    <row r="274">
      <c r="B274" s="8"/>
      <c r="C274" s="8"/>
      <c r="D274" s="8"/>
      <c r="E274" s="8"/>
      <c r="F274" s="70"/>
      <c r="G274" s="8"/>
    </row>
    <row r="275">
      <c r="B275" s="8"/>
      <c r="C275" s="8"/>
      <c r="D275" s="8"/>
      <c r="E275" s="8"/>
      <c r="F275" s="70"/>
      <c r="G275" s="8"/>
    </row>
    <row r="276">
      <c r="B276" s="8"/>
      <c r="C276" s="8"/>
      <c r="D276" s="8"/>
      <c r="E276" s="8"/>
      <c r="F276" s="70"/>
      <c r="G276" s="8"/>
    </row>
    <row r="277">
      <c r="B277" s="8"/>
      <c r="C277" s="8"/>
      <c r="D277" s="8"/>
      <c r="E277" s="8"/>
      <c r="F277" s="70"/>
      <c r="G277" s="8"/>
    </row>
    <row r="278">
      <c r="B278" s="8"/>
      <c r="C278" s="8"/>
      <c r="D278" s="8"/>
      <c r="E278" s="8"/>
      <c r="F278" s="70"/>
      <c r="G278" s="8"/>
    </row>
    <row r="279">
      <c r="B279" s="8"/>
      <c r="C279" s="8"/>
      <c r="D279" s="8"/>
      <c r="E279" s="8"/>
      <c r="F279" s="70"/>
      <c r="G279" s="8"/>
    </row>
    <row r="280">
      <c r="B280" s="8"/>
      <c r="C280" s="8"/>
      <c r="D280" s="8"/>
      <c r="E280" s="8"/>
      <c r="F280" s="70"/>
      <c r="G280" s="8"/>
    </row>
    <row r="281">
      <c r="B281" s="8"/>
      <c r="C281" s="8"/>
      <c r="D281" s="8"/>
      <c r="E281" s="8"/>
      <c r="F281" s="70"/>
      <c r="G281" s="8"/>
    </row>
    <row r="282">
      <c r="B282" s="8"/>
      <c r="C282" s="8"/>
      <c r="D282" s="8"/>
      <c r="E282" s="8"/>
      <c r="F282" s="70"/>
      <c r="G282" s="8"/>
    </row>
    <row r="283">
      <c r="B283" s="8"/>
      <c r="C283" s="8"/>
      <c r="D283" s="8"/>
      <c r="E283" s="8"/>
      <c r="F283" s="70"/>
      <c r="G283" s="8"/>
    </row>
    <row r="284">
      <c r="B284" s="8"/>
      <c r="C284" s="8"/>
      <c r="D284" s="8"/>
      <c r="E284" s="8"/>
      <c r="F284" s="70"/>
      <c r="G284" s="8"/>
    </row>
    <row r="285">
      <c r="B285" s="8"/>
      <c r="C285" s="8"/>
      <c r="D285" s="8"/>
      <c r="E285" s="8"/>
      <c r="F285" s="70"/>
      <c r="G285" s="8"/>
    </row>
    <row r="286">
      <c r="B286" s="8"/>
      <c r="C286" s="8"/>
      <c r="D286" s="8"/>
      <c r="E286" s="8"/>
      <c r="F286" s="70"/>
      <c r="G286" s="8"/>
    </row>
    <row r="287">
      <c r="B287" s="8"/>
      <c r="C287" s="8"/>
      <c r="D287" s="8"/>
      <c r="E287" s="8"/>
      <c r="F287" s="70"/>
      <c r="G287" s="8"/>
    </row>
    <row r="288">
      <c r="B288" s="8"/>
      <c r="C288" s="8"/>
      <c r="D288" s="8"/>
      <c r="E288" s="8"/>
      <c r="F288" s="70"/>
      <c r="G288" s="8"/>
    </row>
    <row r="289">
      <c r="B289" s="8"/>
      <c r="C289" s="8"/>
      <c r="D289" s="8"/>
      <c r="E289" s="8"/>
      <c r="F289" s="70"/>
      <c r="G289" s="8"/>
    </row>
    <row r="290">
      <c r="B290" s="8"/>
      <c r="C290" s="8"/>
      <c r="D290" s="8"/>
      <c r="E290" s="8"/>
      <c r="F290" s="70"/>
      <c r="G290" s="8"/>
    </row>
    <row r="291">
      <c r="B291" s="8"/>
      <c r="C291" s="8"/>
      <c r="D291" s="8"/>
      <c r="E291" s="8"/>
      <c r="F291" s="70"/>
      <c r="G291" s="8"/>
    </row>
    <row r="292">
      <c r="B292" s="8"/>
      <c r="C292" s="8"/>
      <c r="D292" s="8"/>
      <c r="E292" s="8"/>
      <c r="F292" s="70"/>
      <c r="G292" s="8"/>
    </row>
    <row r="293">
      <c r="B293" s="8"/>
      <c r="C293" s="8"/>
      <c r="D293" s="8"/>
      <c r="E293" s="8"/>
      <c r="F293" s="70"/>
      <c r="G293" s="8"/>
    </row>
    <row r="294">
      <c r="B294" s="8"/>
      <c r="C294" s="8"/>
      <c r="D294" s="8"/>
      <c r="E294" s="8"/>
      <c r="F294" s="70"/>
      <c r="G294" s="8"/>
    </row>
    <row r="295">
      <c r="B295" s="8"/>
      <c r="C295" s="8"/>
      <c r="D295" s="8"/>
      <c r="E295" s="8"/>
      <c r="F295" s="70"/>
      <c r="G295" s="8"/>
    </row>
    <row r="296">
      <c r="B296" s="8"/>
      <c r="C296" s="8"/>
      <c r="D296" s="8"/>
      <c r="E296" s="8"/>
      <c r="F296" s="70"/>
      <c r="G296" s="8"/>
    </row>
    <row r="297">
      <c r="B297" s="8"/>
      <c r="C297" s="8"/>
      <c r="D297" s="8"/>
      <c r="E297" s="8"/>
      <c r="F297" s="70"/>
      <c r="G297" s="8"/>
    </row>
    <row r="298">
      <c r="B298" s="8"/>
      <c r="C298" s="8"/>
      <c r="D298" s="8"/>
      <c r="E298" s="8"/>
      <c r="F298" s="70"/>
      <c r="G298" s="8"/>
    </row>
    <row r="299">
      <c r="B299" s="8"/>
      <c r="C299" s="8"/>
      <c r="D299" s="8"/>
      <c r="E299" s="8"/>
      <c r="F299" s="70"/>
      <c r="G299" s="8"/>
    </row>
    <row r="300">
      <c r="B300" s="8"/>
      <c r="C300" s="8"/>
      <c r="D300" s="8"/>
      <c r="E300" s="8"/>
      <c r="F300" s="70"/>
      <c r="G300" s="8"/>
    </row>
    <row r="301">
      <c r="B301" s="8"/>
      <c r="C301" s="8"/>
      <c r="D301" s="8"/>
      <c r="E301" s="8"/>
      <c r="F301" s="70"/>
      <c r="G301" s="8"/>
    </row>
    <row r="302">
      <c r="B302" s="8"/>
      <c r="C302" s="8"/>
      <c r="D302" s="8"/>
      <c r="E302" s="8"/>
      <c r="F302" s="70"/>
      <c r="G302" s="8"/>
    </row>
    <row r="303">
      <c r="B303" s="8"/>
      <c r="C303" s="8"/>
      <c r="D303" s="8"/>
      <c r="E303" s="8"/>
      <c r="F303" s="70"/>
      <c r="G303" s="8"/>
    </row>
    <row r="304">
      <c r="B304" s="8"/>
      <c r="C304" s="8"/>
      <c r="D304" s="8"/>
      <c r="E304" s="8"/>
      <c r="F304" s="70"/>
      <c r="G304" s="8"/>
    </row>
    <row r="305">
      <c r="B305" s="8"/>
      <c r="C305" s="8"/>
      <c r="D305" s="8"/>
      <c r="E305" s="8"/>
      <c r="F305" s="70"/>
      <c r="G305" s="8"/>
    </row>
    <row r="306">
      <c r="B306" s="8"/>
      <c r="C306" s="8"/>
      <c r="D306" s="8"/>
      <c r="E306" s="8"/>
      <c r="F306" s="70"/>
      <c r="G306" s="8"/>
    </row>
    <row r="307">
      <c r="B307" s="8"/>
      <c r="C307" s="8"/>
      <c r="D307" s="8"/>
      <c r="E307" s="8"/>
      <c r="F307" s="70"/>
      <c r="G307" s="8"/>
    </row>
    <row r="308">
      <c r="B308" s="8"/>
      <c r="C308" s="8"/>
      <c r="D308" s="8"/>
      <c r="E308" s="8"/>
      <c r="F308" s="70"/>
      <c r="G308" s="8"/>
    </row>
    <row r="309">
      <c r="B309" s="8"/>
      <c r="C309" s="8"/>
      <c r="D309" s="8"/>
      <c r="E309" s="8"/>
      <c r="F309" s="70"/>
      <c r="G309" s="8"/>
    </row>
    <row r="310">
      <c r="B310" s="8"/>
      <c r="C310" s="8"/>
      <c r="D310" s="8"/>
      <c r="E310" s="8"/>
      <c r="F310" s="70"/>
      <c r="G310" s="8"/>
    </row>
    <row r="311">
      <c r="B311" s="8"/>
      <c r="C311" s="8"/>
      <c r="D311" s="8"/>
      <c r="E311" s="8"/>
      <c r="F311" s="70"/>
      <c r="G311" s="8"/>
    </row>
    <row r="312">
      <c r="B312" s="8"/>
      <c r="C312" s="8"/>
      <c r="D312" s="8"/>
      <c r="E312" s="8"/>
      <c r="F312" s="70"/>
      <c r="G312" s="8"/>
    </row>
    <row r="313">
      <c r="B313" s="8"/>
      <c r="C313" s="8"/>
      <c r="D313" s="8"/>
      <c r="E313" s="8"/>
      <c r="F313" s="70"/>
      <c r="G313" s="8"/>
    </row>
    <row r="314">
      <c r="B314" s="8"/>
      <c r="C314" s="8"/>
      <c r="D314" s="8"/>
      <c r="E314" s="8"/>
      <c r="F314" s="70"/>
      <c r="G314" s="8"/>
    </row>
    <row r="315">
      <c r="B315" s="8"/>
      <c r="C315" s="8"/>
      <c r="D315" s="8"/>
      <c r="E315" s="8"/>
      <c r="F315" s="70"/>
      <c r="G315" s="8"/>
    </row>
    <row r="316">
      <c r="B316" s="8"/>
      <c r="C316" s="8"/>
      <c r="D316" s="8"/>
      <c r="E316" s="8"/>
      <c r="F316" s="70"/>
      <c r="G316" s="8"/>
    </row>
    <row r="317">
      <c r="B317" s="8"/>
      <c r="C317" s="8"/>
      <c r="D317" s="8"/>
      <c r="E317" s="8"/>
      <c r="F317" s="70"/>
      <c r="G317" s="8"/>
    </row>
    <row r="318">
      <c r="B318" s="8"/>
      <c r="C318" s="8"/>
      <c r="D318" s="8"/>
      <c r="E318" s="8"/>
      <c r="F318" s="70"/>
      <c r="G318" s="8"/>
    </row>
    <row r="319">
      <c r="B319" s="8"/>
      <c r="C319" s="8"/>
      <c r="D319" s="8"/>
      <c r="E319" s="8"/>
      <c r="F319" s="70"/>
      <c r="G319" s="8"/>
    </row>
    <row r="320">
      <c r="B320" s="8"/>
      <c r="C320" s="8"/>
      <c r="D320" s="8"/>
      <c r="E320" s="8"/>
      <c r="F320" s="70"/>
      <c r="G320" s="8"/>
    </row>
    <row r="321">
      <c r="B321" s="8"/>
      <c r="C321" s="8"/>
      <c r="D321" s="8"/>
      <c r="E321" s="8"/>
      <c r="F321" s="70"/>
      <c r="G321" s="8"/>
    </row>
    <row r="322">
      <c r="B322" s="8"/>
      <c r="C322" s="8"/>
      <c r="D322" s="8"/>
      <c r="E322" s="8"/>
      <c r="F322" s="70"/>
      <c r="G322" s="8"/>
    </row>
    <row r="323">
      <c r="B323" s="8"/>
      <c r="C323" s="8"/>
      <c r="D323" s="8"/>
      <c r="E323" s="8"/>
      <c r="F323" s="70"/>
      <c r="G323" s="8"/>
    </row>
    <row r="324">
      <c r="B324" s="8"/>
      <c r="C324" s="8"/>
      <c r="D324" s="8"/>
      <c r="E324" s="8"/>
      <c r="F324" s="70"/>
      <c r="G324" s="8"/>
    </row>
    <row r="325">
      <c r="B325" s="8"/>
      <c r="C325" s="8"/>
      <c r="D325" s="8"/>
      <c r="E325" s="8"/>
      <c r="F325" s="70"/>
      <c r="G325" s="8"/>
    </row>
    <row r="326">
      <c r="B326" s="8"/>
      <c r="C326" s="8"/>
      <c r="D326" s="8"/>
      <c r="E326" s="8"/>
      <c r="F326" s="70"/>
      <c r="G326" s="8"/>
    </row>
    <row r="327">
      <c r="B327" s="8"/>
      <c r="C327" s="8"/>
      <c r="D327" s="8"/>
      <c r="E327" s="8"/>
      <c r="F327" s="70"/>
      <c r="G327" s="8"/>
    </row>
    <row r="328">
      <c r="B328" s="8"/>
      <c r="C328" s="8"/>
      <c r="D328" s="8"/>
      <c r="E328" s="8"/>
      <c r="F328" s="70"/>
      <c r="G328" s="8"/>
    </row>
    <row r="329">
      <c r="B329" s="8"/>
      <c r="C329" s="8"/>
      <c r="D329" s="8"/>
      <c r="E329" s="8"/>
      <c r="F329" s="70"/>
      <c r="G329" s="8"/>
    </row>
    <row r="330">
      <c r="B330" s="8"/>
      <c r="C330" s="8"/>
      <c r="D330" s="8"/>
      <c r="E330" s="8"/>
      <c r="F330" s="70"/>
      <c r="G330" s="8"/>
    </row>
    <row r="331">
      <c r="B331" s="8"/>
      <c r="C331" s="8"/>
      <c r="D331" s="8"/>
      <c r="E331" s="8"/>
      <c r="F331" s="70"/>
      <c r="G331" s="8"/>
    </row>
    <row r="332">
      <c r="B332" s="8"/>
      <c r="C332" s="8"/>
      <c r="D332" s="8"/>
      <c r="E332" s="8"/>
      <c r="F332" s="70"/>
      <c r="G332" s="8"/>
    </row>
    <row r="333">
      <c r="B333" s="8"/>
      <c r="C333" s="8"/>
      <c r="D333" s="8"/>
      <c r="E333" s="8"/>
      <c r="F333" s="70"/>
      <c r="G333" s="8"/>
    </row>
    <row r="334">
      <c r="B334" s="8"/>
      <c r="C334" s="8"/>
      <c r="D334" s="8"/>
      <c r="E334" s="8"/>
      <c r="F334" s="70"/>
      <c r="G334" s="8"/>
    </row>
    <row r="335">
      <c r="B335" s="8"/>
      <c r="C335" s="8"/>
      <c r="D335" s="8"/>
      <c r="E335" s="8"/>
      <c r="F335" s="70"/>
      <c r="G335" s="8"/>
    </row>
    <row r="336">
      <c r="B336" s="8"/>
      <c r="C336" s="8"/>
      <c r="D336" s="8"/>
      <c r="E336" s="8"/>
      <c r="F336" s="70"/>
      <c r="G336" s="8"/>
    </row>
    <row r="337">
      <c r="B337" s="8"/>
      <c r="C337" s="8"/>
      <c r="D337" s="8"/>
      <c r="E337" s="8"/>
      <c r="F337" s="70"/>
      <c r="G337" s="8"/>
    </row>
    <row r="338">
      <c r="B338" s="8"/>
      <c r="C338" s="8"/>
      <c r="D338" s="8"/>
      <c r="E338" s="8"/>
      <c r="F338" s="70"/>
      <c r="G338" s="8"/>
    </row>
    <row r="339">
      <c r="B339" s="8"/>
      <c r="C339" s="8"/>
      <c r="D339" s="8"/>
      <c r="E339" s="8"/>
      <c r="F339" s="70"/>
      <c r="G339" s="8"/>
    </row>
    <row r="340">
      <c r="B340" s="8"/>
      <c r="C340" s="8"/>
      <c r="D340" s="8"/>
      <c r="E340" s="8"/>
      <c r="F340" s="70"/>
      <c r="G340" s="8"/>
    </row>
    <row r="341">
      <c r="B341" s="8"/>
      <c r="C341" s="8"/>
      <c r="D341" s="8"/>
      <c r="E341" s="8"/>
      <c r="F341" s="70"/>
      <c r="G341" s="8"/>
    </row>
    <row r="342">
      <c r="B342" s="8"/>
      <c r="C342" s="8"/>
      <c r="D342" s="8"/>
      <c r="E342" s="8"/>
      <c r="F342" s="70"/>
      <c r="G342" s="8"/>
    </row>
    <row r="343">
      <c r="B343" s="8"/>
      <c r="C343" s="8"/>
      <c r="D343" s="8"/>
      <c r="E343" s="8"/>
      <c r="F343" s="70"/>
      <c r="G343" s="8"/>
    </row>
    <row r="344">
      <c r="B344" s="8"/>
      <c r="C344" s="8"/>
      <c r="D344" s="8"/>
      <c r="E344" s="8"/>
      <c r="F344" s="70"/>
      <c r="G344" s="8"/>
    </row>
    <row r="345">
      <c r="B345" s="8"/>
      <c r="C345" s="8"/>
      <c r="D345" s="8"/>
      <c r="E345" s="8"/>
      <c r="F345" s="70"/>
      <c r="G345" s="8"/>
    </row>
    <row r="346">
      <c r="B346" s="8"/>
      <c r="C346" s="8"/>
      <c r="D346" s="8"/>
      <c r="E346" s="8"/>
      <c r="F346" s="70"/>
      <c r="G346" s="8"/>
    </row>
    <row r="347">
      <c r="B347" s="8"/>
      <c r="C347" s="8"/>
      <c r="D347" s="8"/>
      <c r="E347" s="8"/>
      <c r="F347" s="70"/>
      <c r="G347" s="8"/>
    </row>
    <row r="348">
      <c r="B348" s="8"/>
      <c r="C348" s="8"/>
      <c r="D348" s="8"/>
      <c r="E348" s="8"/>
      <c r="F348" s="70"/>
      <c r="G348" s="8"/>
    </row>
    <row r="349">
      <c r="B349" s="8"/>
      <c r="C349" s="8"/>
      <c r="D349" s="8"/>
      <c r="E349" s="8"/>
      <c r="F349" s="70"/>
      <c r="G349" s="8"/>
    </row>
    <row r="350">
      <c r="B350" s="8"/>
      <c r="C350" s="8"/>
      <c r="D350" s="8"/>
      <c r="E350" s="8"/>
      <c r="F350" s="70"/>
      <c r="G350" s="8"/>
    </row>
    <row r="351">
      <c r="B351" s="8"/>
      <c r="C351" s="8"/>
      <c r="D351" s="8"/>
      <c r="E351" s="8"/>
      <c r="F351" s="70"/>
      <c r="G351" s="8"/>
    </row>
    <row r="352">
      <c r="B352" s="8"/>
      <c r="C352" s="8"/>
      <c r="D352" s="8"/>
      <c r="E352" s="8"/>
      <c r="F352" s="70"/>
      <c r="G352" s="8"/>
    </row>
    <row r="353">
      <c r="B353" s="8"/>
      <c r="C353" s="8"/>
      <c r="D353" s="8"/>
      <c r="E353" s="8"/>
      <c r="F353" s="70"/>
      <c r="G353" s="8"/>
    </row>
    <row r="354">
      <c r="B354" s="8"/>
      <c r="C354" s="8"/>
      <c r="D354" s="8"/>
      <c r="E354" s="8"/>
      <c r="F354" s="70"/>
      <c r="G354" s="8"/>
    </row>
    <row r="355">
      <c r="B355" s="8"/>
      <c r="C355" s="8"/>
      <c r="D355" s="8"/>
      <c r="E355" s="8"/>
      <c r="F355" s="70"/>
      <c r="G355" s="8"/>
    </row>
    <row r="356">
      <c r="B356" s="8"/>
      <c r="C356" s="8"/>
      <c r="D356" s="8"/>
      <c r="E356" s="8"/>
      <c r="F356" s="70"/>
      <c r="G356" s="8"/>
    </row>
    <row r="357">
      <c r="B357" s="8"/>
      <c r="C357" s="8"/>
      <c r="D357" s="8"/>
      <c r="E357" s="8"/>
      <c r="F357" s="70"/>
      <c r="G357" s="8"/>
    </row>
    <row r="358">
      <c r="B358" s="8"/>
      <c r="C358" s="8"/>
      <c r="D358" s="8"/>
      <c r="E358" s="8"/>
      <c r="F358" s="70"/>
      <c r="G358" s="8"/>
    </row>
    <row r="359">
      <c r="B359" s="8"/>
      <c r="C359" s="8"/>
      <c r="D359" s="8"/>
      <c r="E359" s="8"/>
      <c r="F359" s="70"/>
      <c r="G359" s="8"/>
    </row>
    <row r="360">
      <c r="B360" s="8"/>
      <c r="C360" s="8"/>
      <c r="D360" s="8"/>
      <c r="E360" s="8"/>
      <c r="F360" s="70"/>
      <c r="G360" s="8"/>
    </row>
    <row r="361">
      <c r="B361" s="8"/>
      <c r="C361" s="8"/>
      <c r="D361" s="8"/>
      <c r="E361" s="8"/>
      <c r="F361" s="70"/>
      <c r="G361" s="8"/>
    </row>
    <row r="362">
      <c r="B362" s="8"/>
      <c r="C362" s="8"/>
      <c r="D362" s="8"/>
      <c r="E362" s="8"/>
      <c r="F362" s="70"/>
      <c r="G362" s="8"/>
    </row>
    <row r="363">
      <c r="B363" s="8"/>
      <c r="C363" s="8"/>
      <c r="D363" s="8"/>
      <c r="E363" s="8"/>
      <c r="F363" s="70"/>
      <c r="G363" s="8"/>
    </row>
    <row r="364">
      <c r="B364" s="8"/>
      <c r="C364" s="8"/>
      <c r="D364" s="8"/>
      <c r="E364" s="8"/>
      <c r="F364" s="70"/>
      <c r="G364" s="8"/>
    </row>
    <row r="365">
      <c r="B365" s="8"/>
      <c r="C365" s="8"/>
      <c r="D365" s="8"/>
      <c r="E365" s="8"/>
      <c r="F365" s="70"/>
      <c r="G365" s="8"/>
    </row>
    <row r="366">
      <c r="B366" s="8"/>
      <c r="C366" s="8"/>
      <c r="D366" s="8"/>
      <c r="E366" s="8"/>
      <c r="F366" s="70"/>
      <c r="G366" s="8"/>
    </row>
    <row r="367">
      <c r="B367" s="8"/>
      <c r="C367" s="8"/>
      <c r="D367" s="8"/>
      <c r="E367" s="8"/>
      <c r="F367" s="70"/>
      <c r="G367" s="8"/>
    </row>
    <row r="368">
      <c r="B368" s="8"/>
      <c r="C368" s="8"/>
      <c r="D368" s="8"/>
      <c r="E368" s="8"/>
      <c r="F368" s="70"/>
      <c r="G368" s="8"/>
    </row>
    <row r="369">
      <c r="B369" s="8"/>
      <c r="C369" s="8"/>
      <c r="D369" s="8"/>
      <c r="E369" s="8"/>
      <c r="F369" s="70"/>
      <c r="G369" s="8"/>
    </row>
    <row r="370">
      <c r="B370" s="8"/>
      <c r="C370" s="8"/>
      <c r="D370" s="8"/>
      <c r="E370" s="8"/>
      <c r="F370" s="70"/>
      <c r="G370" s="8"/>
    </row>
    <row r="371">
      <c r="B371" s="8"/>
      <c r="C371" s="8"/>
      <c r="D371" s="8"/>
      <c r="E371" s="8"/>
      <c r="F371" s="70"/>
      <c r="G371" s="8"/>
    </row>
    <row r="372">
      <c r="B372" s="8"/>
      <c r="C372" s="8"/>
      <c r="D372" s="8"/>
      <c r="E372" s="8"/>
      <c r="F372" s="70"/>
      <c r="G372" s="8"/>
    </row>
    <row r="373">
      <c r="B373" s="8"/>
      <c r="C373" s="8"/>
      <c r="D373" s="8"/>
      <c r="E373" s="8"/>
      <c r="F373" s="70"/>
      <c r="G373" s="8"/>
    </row>
    <row r="374">
      <c r="B374" s="8"/>
      <c r="C374" s="8"/>
      <c r="D374" s="8"/>
      <c r="E374" s="8"/>
      <c r="F374" s="70"/>
      <c r="G374" s="8"/>
    </row>
    <row r="375">
      <c r="B375" s="8"/>
      <c r="C375" s="8"/>
      <c r="D375" s="8"/>
      <c r="E375" s="8"/>
      <c r="F375" s="70"/>
      <c r="G375" s="8"/>
    </row>
    <row r="376">
      <c r="B376" s="8"/>
      <c r="C376" s="8"/>
      <c r="D376" s="8"/>
      <c r="E376" s="8"/>
      <c r="F376" s="70"/>
      <c r="G376" s="8"/>
    </row>
    <row r="377">
      <c r="B377" s="8"/>
      <c r="C377" s="8"/>
      <c r="D377" s="8"/>
      <c r="E377" s="8"/>
      <c r="F377" s="70"/>
      <c r="G377" s="8"/>
    </row>
    <row r="378">
      <c r="B378" s="8"/>
      <c r="C378" s="8"/>
      <c r="D378" s="8"/>
      <c r="E378" s="8"/>
      <c r="F378" s="70"/>
      <c r="G378" s="8"/>
    </row>
    <row r="379">
      <c r="B379" s="8"/>
      <c r="C379" s="8"/>
      <c r="D379" s="8"/>
      <c r="E379" s="8"/>
      <c r="F379" s="70"/>
      <c r="G379" s="8"/>
    </row>
    <row r="380">
      <c r="B380" s="8"/>
      <c r="C380" s="8"/>
      <c r="D380" s="8"/>
      <c r="E380" s="8"/>
      <c r="F380" s="70"/>
      <c r="G380" s="8"/>
    </row>
    <row r="381">
      <c r="B381" s="8"/>
      <c r="C381" s="8"/>
      <c r="D381" s="8"/>
      <c r="E381" s="8"/>
      <c r="F381" s="70"/>
      <c r="G381" s="8"/>
    </row>
    <row r="382">
      <c r="B382" s="8"/>
      <c r="C382" s="8"/>
      <c r="D382" s="8"/>
      <c r="E382" s="8"/>
      <c r="F382" s="70"/>
      <c r="G382" s="8"/>
    </row>
    <row r="383">
      <c r="B383" s="8"/>
      <c r="C383" s="8"/>
      <c r="D383" s="8"/>
      <c r="E383" s="8"/>
      <c r="F383" s="70"/>
      <c r="G383" s="8"/>
    </row>
    <row r="384">
      <c r="B384" s="8"/>
      <c r="C384" s="8"/>
      <c r="D384" s="8"/>
      <c r="E384" s="8"/>
      <c r="F384" s="70"/>
      <c r="G384" s="8"/>
    </row>
    <row r="385">
      <c r="B385" s="8"/>
      <c r="C385" s="8"/>
      <c r="D385" s="8"/>
      <c r="E385" s="8"/>
      <c r="F385" s="70"/>
      <c r="G385" s="8"/>
    </row>
    <row r="386">
      <c r="B386" s="8"/>
      <c r="C386" s="8"/>
      <c r="D386" s="8"/>
      <c r="E386" s="8"/>
      <c r="F386" s="70"/>
      <c r="G386" s="8"/>
    </row>
    <row r="387">
      <c r="B387" s="8"/>
      <c r="C387" s="8"/>
      <c r="D387" s="8"/>
      <c r="E387" s="8"/>
      <c r="F387" s="70"/>
      <c r="G387" s="8"/>
    </row>
    <row r="388">
      <c r="B388" s="8"/>
      <c r="C388" s="8"/>
      <c r="D388" s="8"/>
      <c r="E388" s="8"/>
      <c r="F388" s="70"/>
      <c r="G388" s="8"/>
    </row>
    <row r="389">
      <c r="B389" s="8"/>
      <c r="C389" s="8"/>
      <c r="D389" s="8"/>
      <c r="E389" s="8"/>
      <c r="F389" s="70"/>
      <c r="G389" s="8"/>
    </row>
    <row r="390">
      <c r="B390" s="8"/>
      <c r="C390" s="8"/>
      <c r="D390" s="8"/>
      <c r="E390" s="8"/>
      <c r="F390" s="70"/>
      <c r="G390" s="8"/>
    </row>
    <row r="391">
      <c r="B391" s="8"/>
      <c r="C391" s="8"/>
      <c r="D391" s="8"/>
      <c r="E391" s="8"/>
      <c r="F391" s="70"/>
      <c r="G391" s="8"/>
    </row>
    <row r="392">
      <c r="B392" s="8"/>
      <c r="C392" s="8"/>
      <c r="D392" s="8"/>
      <c r="E392" s="8"/>
      <c r="F392" s="70"/>
      <c r="G392" s="8"/>
    </row>
    <row r="393">
      <c r="B393" s="8"/>
      <c r="C393" s="8"/>
      <c r="D393" s="8"/>
      <c r="E393" s="8"/>
      <c r="F393" s="70"/>
      <c r="G393" s="8"/>
    </row>
    <row r="394">
      <c r="B394" s="8"/>
      <c r="C394" s="8"/>
      <c r="D394" s="8"/>
      <c r="E394" s="8"/>
      <c r="F394" s="70"/>
      <c r="G394" s="8"/>
    </row>
    <row r="395">
      <c r="B395" s="8"/>
      <c r="C395" s="8"/>
      <c r="D395" s="8"/>
      <c r="E395" s="8"/>
      <c r="F395" s="70"/>
      <c r="G395" s="8"/>
    </row>
    <row r="396">
      <c r="B396" s="8"/>
      <c r="C396" s="8"/>
      <c r="D396" s="8"/>
      <c r="E396" s="8"/>
      <c r="F396" s="70"/>
      <c r="G396" s="8"/>
    </row>
    <row r="397">
      <c r="B397" s="8"/>
      <c r="C397" s="8"/>
      <c r="D397" s="8"/>
      <c r="E397" s="8"/>
      <c r="F397" s="70"/>
      <c r="G397" s="8"/>
    </row>
    <row r="398">
      <c r="B398" s="8"/>
      <c r="C398" s="8"/>
      <c r="D398" s="8"/>
      <c r="E398" s="8"/>
      <c r="F398" s="70"/>
      <c r="G398" s="8"/>
    </row>
    <row r="399">
      <c r="B399" s="8"/>
      <c r="C399" s="8"/>
      <c r="D399" s="8"/>
      <c r="E399" s="8"/>
      <c r="F399" s="70"/>
      <c r="G399" s="8"/>
    </row>
    <row r="400">
      <c r="B400" s="8"/>
      <c r="C400" s="8"/>
      <c r="D400" s="8"/>
      <c r="E400" s="8"/>
      <c r="F400" s="70"/>
      <c r="G400" s="8"/>
    </row>
    <row r="401">
      <c r="B401" s="8"/>
      <c r="C401" s="8"/>
      <c r="D401" s="8"/>
      <c r="E401" s="8"/>
      <c r="F401" s="70"/>
      <c r="G401" s="8"/>
    </row>
    <row r="402">
      <c r="B402" s="8"/>
      <c r="C402" s="8"/>
      <c r="D402" s="8"/>
      <c r="E402" s="8"/>
      <c r="F402" s="70"/>
      <c r="G402" s="8"/>
    </row>
    <row r="403">
      <c r="B403" s="8"/>
      <c r="C403" s="8"/>
      <c r="D403" s="8"/>
      <c r="E403" s="8"/>
      <c r="F403" s="70"/>
      <c r="G403" s="8"/>
    </row>
    <row r="404">
      <c r="B404" s="8"/>
      <c r="C404" s="8"/>
      <c r="D404" s="8"/>
      <c r="E404" s="8"/>
      <c r="F404" s="70"/>
      <c r="G404" s="8"/>
    </row>
    <row r="405">
      <c r="B405" s="8"/>
      <c r="C405" s="8"/>
      <c r="D405" s="8"/>
      <c r="E405" s="8"/>
      <c r="F405" s="70"/>
      <c r="G405" s="8"/>
    </row>
    <row r="406">
      <c r="B406" s="8"/>
      <c r="C406" s="8"/>
      <c r="D406" s="8"/>
      <c r="E406" s="8"/>
      <c r="F406" s="70"/>
      <c r="G406" s="8"/>
    </row>
    <row r="407">
      <c r="B407" s="8"/>
      <c r="C407" s="8"/>
      <c r="D407" s="8"/>
      <c r="E407" s="8"/>
      <c r="F407" s="70"/>
      <c r="G407" s="8"/>
    </row>
    <row r="408">
      <c r="B408" s="8"/>
      <c r="C408" s="8"/>
      <c r="D408" s="8"/>
      <c r="E408" s="8"/>
      <c r="F408" s="70"/>
      <c r="G408" s="8"/>
    </row>
    <row r="409">
      <c r="B409" s="8"/>
      <c r="C409" s="8"/>
      <c r="D409" s="8"/>
      <c r="E409" s="8"/>
      <c r="F409" s="70"/>
      <c r="G409" s="8"/>
    </row>
    <row r="410">
      <c r="B410" s="8"/>
      <c r="C410" s="8"/>
      <c r="D410" s="8"/>
      <c r="E410" s="8"/>
      <c r="F410" s="70"/>
      <c r="G410" s="8"/>
    </row>
    <row r="411">
      <c r="B411" s="8"/>
      <c r="C411" s="8"/>
      <c r="D411" s="8"/>
      <c r="E411" s="8"/>
      <c r="F411" s="70"/>
      <c r="G411" s="8"/>
    </row>
    <row r="412">
      <c r="B412" s="8"/>
      <c r="C412" s="8"/>
      <c r="D412" s="8"/>
      <c r="E412" s="8"/>
      <c r="F412" s="70"/>
      <c r="G412" s="8"/>
    </row>
    <row r="413">
      <c r="B413" s="8"/>
      <c r="C413" s="8"/>
      <c r="D413" s="8"/>
      <c r="E413" s="8"/>
      <c r="F413" s="70"/>
      <c r="G413" s="8"/>
    </row>
    <row r="414">
      <c r="B414" s="8"/>
      <c r="C414" s="8"/>
      <c r="D414" s="8"/>
      <c r="E414" s="8"/>
      <c r="F414" s="70"/>
      <c r="G414" s="8"/>
    </row>
    <row r="415">
      <c r="B415" s="8"/>
      <c r="C415" s="8"/>
      <c r="D415" s="8"/>
      <c r="E415" s="8"/>
      <c r="F415" s="70"/>
      <c r="G415" s="8"/>
    </row>
    <row r="416">
      <c r="B416" s="8"/>
      <c r="C416" s="8"/>
      <c r="D416" s="8"/>
      <c r="E416" s="8"/>
      <c r="F416" s="70"/>
      <c r="G416" s="8"/>
    </row>
    <row r="417">
      <c r="B417" s="8"/>
      <c r="C417" s="8"/>
      <c r="D417" s="8"/>
      <c r="E417" s="8"/>
      <c r="F417" s="70"/>
      <c r="G417" s="8"/>
    </row>
    <row r="418">
      <c r="B418" s="8"/>
      <c r="C418" s="8"/>
      <c r="D418" s="8"/>
      <c r="E418" s="8"/>
      <c r="F418" s="70"/>
      <c r="G418" s="8"/>
    </row>
    <row r="419">
      <c r="B419" s="8"/>
      <c r="C419" s="8"/>
      <c r="D419" s="8"/>
      <c r="E419" s="8"/>
      <c r="F419" s="70"/>
      <c r="G419" s="8"/>
    </row>
    <row r="420">
      <c r="B420" s="8"/>
      <c r="C420" s="8"/>
      <c r="D420" s="8"/>
      <c r="E420" s="8"/>
      <c r="F420" s="70"/>
      <c r="G420" s="8"/>
    </row>
    <row r="421">
      <c r="B421" s="8"/>
      <c r="C421" s="8"/>
      <c r="D421" s="8"/>
      <c r="E421" s="8"/>
      <c r="F421" s="70"/>
      <c r="G421" s="8"/>
    </row>
    <row r="422">
      <c r="B422" s="8"/>
      <c r="C422" s="8"/>
      <c r="D422" s="8"/>
      <c r="E422" s="8"/>
      <c r="F422" s="70"/>
      <c r="G422" s="8"/>
    </row>
    <row r="423">
      <c r="B423" s="8"/>
      <c r="C423" s="8"/>
      <c r="D423" s="8"/>
      <c r="E423" s="8"/>
      <c r="F423" s="70"/>
      <c r="G423" s="8"/>
    </row>
    <row r="424">
      <c r="B424" s="8"/>
      <c r="C424" s="8"/>
      <c r="D424" s="8"/>
      <c r="E424" s="8"/>
      <c r="F424" s="70"/>
      <c r="G424" s="8"/>
    </row>
    <row r="425">
      <c r="B425" s="8"/>
      <c r="C425" s="8"/>
      <c r="D425" s="8"/>
      <c r="E425" s="8"/>
      <c r="F425" s="70"/>
      <c r="G425" s="8"/>
    </row>
    <row r="426">
      <c r="B426" s="8"/>
      <c r="C426" s="8"/>
      <c r="D426" s="8"/>
      <c r="E426" s="8"/>
      <c r="F426" s="70"/>
      <c r="G426" s="8"/>
    </row>
    <row r="427">
      <c r="B427" s="8"/>
      <c r="C427" s="8"/>
      <c r="D427" s="8"/>
      <c r="E427" s="8"/>
      <c r="F427" s="70"/>
      <c r="G427" s="8"/>
    </row>
    <row r="428">
      <c r="B428" s="8"/>
      <c r="C428" s="8"/>
      <c r="D428" s="8"/>
      <c r="E428" s="8"/>
      <c r="F428" s="70"/>
      <c r="G428" s="8"/>
    </row>
    <row r="429">
      <c r="B429" s="8"/>
      <c r="C429" s="8"/>
      <c r="D429" s="8"/>
      <c r="E429" s="8"/>
      <c r="F429" s="70"/>
      <c r="G429" s="8"/>
    </row>
    <row r="430">
      <c r="B430" s="8"/>
      <c r="C430" s="8"/>
      <c r="D430" s="8"/>
      <c r="E430" s="8"/>
      <c r="F430" s="70"/>
      <c r="G430" s="8"/>
    </row>
    <row r="431">
      <c r="B431" s="8"/>
      <c r="C431" s="8"/>
      <c r="D431" s="8"/>
      <c r="E431" s="8"/>
      <c r="F431" s="70"/>
      <c r="G431" s="8"/>
    </row>
    <row r="432">
      <c r="B432" s="8"/>
      <c r="C432" s="8"/>
      <c r="D432" s="8"/>
      <c r="E432" s="8"/>
      <c r="F432" s="70"/>
      <c r="G432" s="8"/>
    </row>
    <row r="433">
      <c r="B433" s="8"/>
      <c r="C433" s="8"/>
      <c r="D433" s="8"/>
      <c r="E433" s="8"/>
      <c r="F433" s="70"/>
      <c r="G433" s="8"/>
    </row>
    <row r="434">
      <c r="B434" s="8"/>
      <c r="C434" s="8"/>
      <c r="D434" s="8"/>
      <c r="E434" s="8"/>
      <c r="F434" s="70"/>
      <c r="G434" s="8"/>
    </row>
    <row r="435">
      <c r="B435" s="8"/>
      <c r="C435" s="8"/>
      <c r="D435" s="8"/>
      <c r="E435" s="8"/>
      <c r="F435" s="70"/>
      <c r="G435" s="8"/>
    </row>
    <row r="436">
      <c r="B436" s="8"/>
      <c r="C436" s="8"/>
      <c r="D436" s="8"/>
      <c r="E436" s="8"/>
      <c r="F436" s="70"/>
      <c r="G436" s="8"/>
    </row>
    <row r="437">
      <c r="B437" s="8"/>
      <c r="C437" s="8"/>
      <c r="D437" s="8"/>
      <c r="E437" s="8"/>
      <c r="F437" s="70"/>
      <c r="G437" s="8"/>
    </row>
    <row r="438">
      <c r="B438" s="8"/>
      <c r="C438" s="8"/>
      <c r="D438" s="8"/>
      <c r="E438" s="8"/>
      <c r="F438" s="70"/>
      <c r="G438" s="8"/>
    </row>
    <row r="439">
      <c r="B439" s="8"/>
      <c r="C439" s="8"/>
      <c r="D439" s="8"/>
      <c r="E439" s="8"/>
      <c r="F439" s="70"/>
      <c r="G439" s="8"/>
    </row>
    <row r="440">
      <c r="B440" s="8"/>
      <c r="C440" s="8"/>
      <c r="D440" s="8"/>
      <c r="E440" s="8"/>
      <c r="F440" s="70"/>
      <c r="G440" s="8"/>
    </row>
    <row r="441">
      <c r="B441" s="8"/>
      <c r="C441" s="8"/>
      <c r="D441" s="8"/>
      <c r="E441" s="8"/>
      <c r="F441" s="70"/>
      <c r="G441" s="8"/>
    </row>
    <row r="442">
      <c r="B442" s="8"/>
      <c r="C442" s="8"/>
      <c r="D442" s="8"/>
      <c r="E442" s="8"/>
      <c r="F442" s="70"/>
      <c r="G442" s="8"/>
    </row>
    <row r="443">
      <c r="B443" s="8"/>
      <c r="C443" s="8"/>
      <c r="D443" s="8"/>
      <c r="E443" s="8"/>
      <c r="F443" s="70"/>
      <c r="G443" s="8"/>
    </row>
    <row r="444">
      <c r="B444" s="8"/>
      <c r="C444" s="8"/>
      <c r="D444" s="8"/>
      <c r="E444" s="8"/>
      <c r="F444" s="70"/>
      <c r="G444" s="8"/>
    </row>
    <row r="445">
      <c r="B445" s="8"/>
      <c r="C445" s="8"/>
      <c r="D445" s="8"/>
      <c r="E445" s="8"/>
      <c r="F445" s="70"/>
      <c r="G445" s="8"/>
    </row>
    <row r="446">
      <c r="B446" s="8"/>
      <c r="C446" s="8"/>
      <c r="D446" s="8"/>
      <c r="E446" s="8"/>
      <c r="F446" s="70"/>
      <c r="G446" s="8"/>
    </row>
    <row r="447">
      <c r="B447" s="8"/>
      <c r="C447" s="8"/>
      <c r="D447" s="8"/>
      <c r="E447" s="8"/>
      <c r="F447" s="70"/>
      <c r="G447" s="8"/>
    </row>
    <row r="448">
      <c r="B448" s="8"/>
      <c r="C448" s="8"/>
      <c r="D448" s="8"/>
      <c r="E448" s="8"/>
      <c r="F448" s="70"/>
      <c r="G448" s="8"/>
    </row>
    <row r="449">
      <c r="B449" s="8"/>
      <c r="C449" s="8"/>
      <c r="D449" s="8"/>
      <c r="E449" s="8"/>
      <c r="F449" s="70"/>
      <c r="G449" s="8"/>
    </row>
    <row r="450">
      <c r="B450" s="8"/>
      <c r="C450" s="8"/>
      <c r="D450" s="8"/>
      <c r="E450" s="8"/>
      <c r="F450" s="70"/>
      <c r="G450" s="8"/>
    </row>
    <row r="451">
      <c r="B451" s="8"/>
      <c r="C451" s="8"/>
      <c r="D451" s="8"/>
      <c r="E451" s="8"/>
      <c r="F451" s="70"/>
      <c r="G451" s="8"/>
    </row>
    <row r="452">
      <c r="B452" s="8"/>
      <c r="C452" s="8"/>
      <c r="D452" s="8"/>
      <c r="E452" s="8"/>
      <c r="F452" s="70"/>
      <c r="G452" s="8"/>
    </row>
    <row r="453">
      <c r="B453" s="8"/>
      <c r="C453" s="8"/>
      <c r="D453" s="8"/>
      <c r="E453" s="8"/>
      <c r="F453" s="70"/>
      <c r="G453" s="8"/>
    </row>
    <row r="454">
      <c r="B454" s="8"/>
      <c r="C454" s="8"/>
      <c r="D454" s="8"/>
      <c r="E454" s="8"/>
      <c r="F454" s="70"/>
      <c r="G454" s="8"/>
    </row>
    <row r="455">
      <c r="B455" s="8"/>
      <c r="C455" s="8"/>
      <c r="D455" s="8"/>
      <c r="E455" s="8"/>
      <c r="F455" s="70"/>
      <c r="G455" s="8"/>
    </row>
    <row r="456">
      <c r="B456" s="8"/>
      <c r="C456" s="8"/>
      <c r="D456" s="8"/>
      <c r="E456" s="8"/>
      <c r="F456" s="70"/>
      <c r="G456" s="8"/>
    </row>
    <row r="457">
      <c r="B457" s="8"/>
      <c r="C457" s="8"/>
      <c r="D457" s="8"/>
      <c r="E457" s="8"/>
      <c r="F457" s="70"/>
      <c r="G457" s="8"/>
    </row>
    <row r="458">
      <c r="B458" s="8"/>
      <c r="C458" s="8"/>
      <c r="D458" s="8"/>
      <c r="E458" s="8"/>
      <c r="F458" s="70"/>
      <c r="G458" s="8"/>
    </row>
    <row r="459">
      <c r="B459" s="8"/>
      <c r="C459" s="8"/>
      <c r="D459" s="8"/>
      <c r="E459" s="8"/>
      <c r="F459" s="70"/>
      <c r="G459" s="8"/>
    </row>
    <row r="460">
      <c r="B460" s="8"/>
      <c r="C460" s="8"/>
      <c r="D460" s="8"/>
      <c r="E460" s="8"/>
      <c r="F460" s="70"/>
      <c r="G460" s="8"/>
    </row>
    <row r="461">
      <c r="B461" s="8"/>
      <c r="C461" s="8"/>
      <c r="D461" s="8"/>
      <c r="E461" s="8"/>
      <c r="F461" s="70"/>
      <c r="G461" s="8"/>
    </row>
    <row r="462">
      <c r="B462" s="8"/>
      <c r="C462" s="8"/>
      <c r="D462" s="8"/>
      <c r="E462" s="8"/>
      <c r="F462" s="70"/>
      <c r="G462" s="8"/>
    </row>
    <row r="463">
      <c r="B463" s="8"/>
      <c r="C463" s="8"/>
      <c r="D463" s="8"/>
      <c r="E463" s="8"/>
      <c r="F463" s="70"/>
      <c r="G463" s="8"/>
    </row>
    <row r="464">
      <c r="B464" s="8"/>
      <c r="C464" s="8"/>
      <c r="D464" s="8"/>
      <c r="E464" s="8"/>
      <c r="F464" s="70"/>
      <c r="G464" s="8"/>
    </row>
    <row r="465">
      <c r="B465" s="8"/>
      <c r="C465" s="8"/>
      <c r="D465" s="8"/>
      <c r="E465" s="8"/>
      <c r="F465" s="70"/>
      <c r="G465" s="8"/>
    </row>
    <row r="466">
      <c r="B466" s="8"/>
      <c r="C466" s="8"/>
      <c r="D466" s="8"/>
      <c r="E466" s="8"/>
      <c r="F466" s="70"/>
      <c r="G466" s="8"/>
    </row>
    <row r="467">
      <c r="B467" s="8"/>
      <c r="C467" s="8"/>
      <c r="D467" s="8"/>
      <c r="E467" s="8"/>
      <c r="F467" s="70"/>
      <c r="G467" s="8"/>
    </row>
    <row r="468">
      <c r="B468" s="8"/>
      <c r="C468" s="8"/>
      <c r="D468" s="8"/>
      <c r="E468" s="8"/>
      <c r="F468" s="70"/>
      <c r="G468" s="8"/>
    </row>
    <row r="469">
      <c r="B469" s="8"/>
      <c r="C469" s="8"/>
      <c r="D469" s="8"/>
      <c r="E469" s="8"/>
      <c r="F469" s="70"/>
      <c r="G469" s="8"/>
    </row>
    <row r="470">
      <c r="B470" s="8"/>
      <c r="C470" s="8"/>
      <c r="D470" s="8"/>
      <c r="E470" s="8"/>
      <c r="F470" s="70"/>
      <c r="G470" s="8"/>
    </row>
    <row r="471">
      <c r="B471" s="8"/>
      <c r="C471" s="8"/>
      <c r="D471" s="8"/>
      <c r="E471" s="8"/>
      <c r="F471" s="70"/>
      <c r="G471" s="8"/>
    </row>
    <row r="472">
      <c r="B472" s="8"/>
      <c r="C472" s="8"/>
      <c r="D472" s="8"/>
      <c r="E472" s="8"/>
      <c r="F472" s="70"/>
      <c r="G472" s="8"/>
    </row>
    <row r="473">
      <c r="B473" s="8"/>
      <c r="C473" s="8"/>
      <c r="D473" s="8"/>
      <c r="E473" s="8"/>
      <c r="F473" s="70"/>
      <c r="G473" s="8"/>
    </row>
    <row r="474">
      <c r="B474" s="8"/>
      <c r="C474" s="8"/>
      <c r="D474" s="8"/>
      <c r="E474" s="8"/>
      <c r="F474" s="70"/>
      <c r="G474" s="8"/>
    </row>
    <row r="475">
      <c r="B475" s="8"/>
      <c r="C475" s="8"/>
      <c r="D475" s="8"/>
      <c r="E475" s="8"/>
      <c r="F475" s="70"/>
      <c r="G475" s="8"/>
    </row>
    <row r="476">
      <c r="B476" s="8"/>
      <c r="C476" s="8"/>
      <c r="D476" s="8"/>
      <c r="E476" s="8"/>
      <c r="F476" s="70"/>
      <c r="G476" s="8"/>
    </row>
    <row r="477">
      <c r="B477" s="8"/>
      <c r="C477" s="8"/>
      <c r="D477" s="8"/>
      <c r="E477" s="8"/>
      <c r="F477" s="70"/>
      <c r="G477" s="8"/>
    </row>
    <row r="478">
      <c r="B478" s="8"/>
      <c r="C478" s="8"/>
      <c r="D478" s="8"/>
      <c r="E478" s="8"/>
      <c r="F478" s="70"/>
      <c r="G478" s="8"/>
    </row>
    <row r="479">
      <c r="B479" s="8"/>
      <c r="C479" s="8"/>
      <c r="D479" s="8"/>
      <c r="E479" s="8"/>
      <c r="F479" s="70"/>
      <c r="G479" s="8"/>
    </row>
    <row r="480">
      <c r="B480" s="8"/>
      <c r="C480" s="8"/>
      <c r="D480" s="8"/>
      <c r="E480" s="8"/>
      <c r="F480" s="70"/>
      <c r="G480" s="8"/>
    </row>
    <row r="481">
      <c r="B481" s="8"/>
      <c r="C481" s="8"/>
      <c r="D481" s="8"/>
      <c r="E481" s="8"/>
      <c r="F481" s="70"/>
      <c r="G481" s="8"/>
    </row>
    <row r="482">
      <c r="B482" s="8"/>
      <c r="C482" s="8"/>
      <c r="D482" s="8"/>
      <c r="E482" s="8"/>
      <c r="F482" s="70"/>
      <c r="G482" s="8"/>
    </row>
    <row r="483">
      <c r="B483" s="8"/>
      <c r="C483" s="8"/>
      <c r="D483" s="8"/>
      <c r="E483" s="8"/>
      <c r="F483" s="70"/>
      <c r="G483" s="8"/>
    </row>
    <row r="484">
      <c r="B484" s="8"/>
      <c r="C484" s="8"/>
      <c r="D484" s="8"/>
      <c r="E484" s="8"/>
      <c r="F484" s="70"/>
      <c r="G484" s="8"/>
    </row>
    <row r="485">
      <c r="B485" s="8"/>
      <c r="C485" s="8"/>
      <c r="D485" s="8"/>
      <c r="E485" s="8"/>
      <c r="F485" s="70"/>
      <c r="G485" s="8"/>
    </row>
    <row r="486">
      <c r="B486" s="8"/>
      <c r="C486" s="8"/>
      <c r="D486" s="8"/>
      <c r="E486" s="8"/>
      <c r="F486" s="70"/>
      <c r="G486" s="8"/>
    </row>
    <row r="487">
      <c r="B487" s="8"/>
      <c r="C487" s="8"/>
      <c r="D487" s="8"/>
      <c r="E487" s="8"/>
      <c r="F487" s="70"/>
      <c r="G487" s="8"/>
    </row>
    <row r="488">
      <c r="B488" s="8"/>
      <c r="C488" s="8"/>
      <c r="D488" s="8"/>
      <c r="E488" s="8"/>
      <c r="F488" s="70"/>
      <c r="G488" s="8"/>
    </row>
    <row r="489">
      <c r="B489" s="8"/>
      <c r="C489" s="8"/>
      <c r="D489" s="8"/>
      <c r="E489" s="8"/>
      <c r="F489" s="70"/>
      <c r="G489" s="8"/>
    </row>
    <row r="490">
      <c r="B490" s="8"/>
      <c r="C490" s="8"/>
      <c r="D490" s="8"/>
      <c r="E490" s="8"/>
      <c r="F490" s="70"/>
      <c r="G490" s="8"/>
    </row>
    <row r="491">
      <c r="B491" s="8"/>
      <c r="C491" s="8"/>
      <c r="D491" s="8"/>
      <c r="E491" s="8"/>
      <c r="F491" s="70"/>
      <c r="G491" s="8"/>
    </row>
    <row r="492">
      <c r="B492" s="8"/>
      <c r="C492" s="8"/>
      <c r="D492" s="8"/>
      <c r="E492" s="8"/>
      <c r="F492" s="70"/>
      <c r="G492" s="8"/>
    </row>
    <row r="493">
      <c r="B493" s="8"/>
      <c r="C493" s="8"/>
      <c r="D493" s="8"/>
      <c r="E493" s="8"/>
      <c r="F493" s="70"/>
      <c r="G493" s="8"/>
    </row>
    <row r="494">
      <c r="B494" s="8"/>
      <c r="C494" s="8"/>
      <c r="D494" s="8"/>
      <c r="E494" s="8"/>
      <c r="F494" s="70"/>
      <c r="G494" s="8"/>
    </row>
    <row r="495">
      <c r="B495" s="8"/>
      <c r="C495" s="8"/>
      <c r="D495" s="8"/>
      <c r="E495" s="8"/>
      <c r="F495" s="70"/>
      <c r="G495" s="8"/>
    </row>
    <row r="496">
      <c r="B496" s="8"/>
      <c r="C496" s="8"/>
      <c r="D496" s="8"/>
      <c r="E496" s="8"/>
      <c r="F496" s="70"/>
      <c r="G496" s="8"/>
    </row>
    <row r="497">
      <c r="B497" s="8"/>
      <c r="C497" s="8"/>
      <c r="D497" s="8"/>
      <c r="E497" s="8"/>
      <c r="F497" s="70"/>
      <c r="G497" s="8"/>
    </row>
    <row r="498">
      <c r="B498" s="8"/>
      <c r="C498" s="8"/>
      <c r="D498" s="8"/>
      <c r="E498" s="8"/>
      <c r="F498" s="70"/>
      <c r="G498" s="8"/>
    </row>
    <row r="499">
      <c r="B499" s="8"/>
      <c r="C499" s="8"/>
      <c r="D499" s="8"/>
      <c r="E499" s="8"/>
      <c r="F499" s="70"/>
      <c r="G499" s="8"/>
    </row>
    <row r="500">
      <c r="B500" s="8"/>
      <c r="C500" s="8"/>
      <c r="D500" s="8"/>
      <c r="E500" s="8"/>
      <c r="F500" s="70"/>
      <c r="G500" s="8"/>
    </row>
    <row r="501">
      <c r="B501" s="8"/>
      <c r="C501" s="8"/>
      <c r="D501" s="8"/>
      <c r="E501" s="8"/>
      <c r="F501" s="70"/>
      <c r="G501" s="8"/>
    </row>
    <row r="502">
      <c r="B502" s="8"/>
      <c r="C502" s="8"/>
      <c r="D502" s="8"/>
      <c r="E502" s="8"/>
      <c r="F502" s="70"/>
      <c r="G502" s="8"/>
    </row>
    <row r="503">
      <c r="B503" s="8"/>
      <c r="C503" s="8"/>
      <c r="D503" s="8"/>
      <c r="E503" s="8"/>
      <c r="F503" s="70"/>
      <c r="G503" s="8"/>
    </row>
    <row r="504">
      <c r="B504" s="8"/>
      <c r="C504" s="8"/>
      <c r="D504" s="8"/>
      <c r="E504" s="8"/>
      <c r="F504" s="70"/>
      <c r="G504" s="8"/>
    </row>
    <row r="505">
      <c r="B505" s="8"/>
      <c r="C505" s="8"/>
      <c r="D505" s="8"/>
      <c r="E505" s="8"/>
      <c r="F505" s="70"/>
      <c r="G505" s="8"/>
    </row>
    <row r="506">
      <c r="B506" s="8"/>
      <c r="C506" s="8"/>
      <c r="D506" s="8"/>
      <c r="E506" s="8"/>
      <c r="F506" s="70"/>
      <c r="G506" s="8"/>
    </row>
    <row r="507">
      <c r="B507" s="8"/>
      <c r="C507" s="8"/>
      <c r="D507" s="8"/>
      <c r="E507" s="8"/>
      <c r="F507" s="70"/>
      <c r="G507" s="8"/>
    </row>
    <row r="508">
      <c r="B508" s="8"/>
      <c r="C508" s="8"/>
      <c r="D508" s="8"/>
      <c r="E508" s="8"/>
      <c r="F508" s="70"/>
      <c r="G508" s="8"/>
    </row>
    <row r="509">
      <c r="B509" s="8"/>
      <c r="C509" s="8"/>
      <c r="D509" s="8"/>
      <c r="E509" s="8"/>
      <c r="F509" s="70"/>
      <c r="G509" s="8"/>
    </row>
    <row r="510">
      <c r="B510" s="8"/>
      <c r="C510" s="8"/>
      <c r="D510" s="8"/>
      <c r="E510" s="8"/>
      <c r="F510" s="70"/>
      <c r="G510" s="8"/>
    </row>
    <row r="511">
      <c r="B511" s="8"/>
      <c r="C511" s="8"/>
      <c r="D511" s="8"/>
      <c r="E511" s="8"/>
      <c r="F511" s="70"/>
      <c r="G511" s="8"/>
    </row>
    <row r="512">
      <c r="B512" s="8"/>
      <c r="C512" s="8"/>
      <c r="D512" s="8"/>
      <c r="E512" s="8"/>
      <c r="F512" s="70"/>
      <c r="G512" s="8"/>
    </row>
    <row r="513">
      <c r="B513" s="8"/>
      <c r="C513" s="8"/>
      <c r="D513" s="8"/>
      <c r="E513" s="8"/>
      <c r="F513" s="70"/>
      <c r="G513" s="8"/>
    </row>
    <row r="514">
      <c r="B514" s="8"/>
      <c r="C514" s="8"/>
      <c r="D514" s="8"/>
      <c r="E514" s="8"/>
      <c r="F514" s="70"/>
      <c r="G514" s="8"/>
    </row>
    <row r="515">
      <c r="B515" s="8"/>
      <c r="C515" s="8"/>
      <c r="D515" s="8"/>
      <c r="E515" s="8"/>
      <c r="F515" s="70"/>
      <c r="G515" s="8"/>
    </row>
    <row r="516">
      <c r="B516" s="8"/>
      <c r="C516" s="8"/>
      <c r="D516" s="8"/>
      <c r="E516" s="8"/>
      <c r="F516" s="70"/>
      <c r="G516" s="8"/>
    </row>
    <row r="517">
      <c r="B517" s="8"/>
      <c r="C517" s="8"/>
      <c r="D517" s="8"/>
      <c r="E517" s="8"/>
      <c r="F517" s="70"/>
      <c r="G517" s="8"/>
    </row>
    <row r="518">
      <c r="B518" s="8"/>
      <c r="C518" s="8"/>
      <c r="D518" s="8"/>
      <c r="E518" s="8"/>
      <c r="F518" s="70"/>
      <c r="G518" s="8"/>
    </row>
    <row r="519">
      <c r="B519" s="8"/>
      <c r="C519" s="8"/>
      <c r="D519" s="8"/>
      <c r="E519" s="8"/>
      <c r="F519" s="70"/>
      <c r="G519" s="8"/>
    </row>
    <row r="520">
      <c r="B520" s="8"/>
      <c r="C520" s="8"/>
      <c r="D520" s="8"/>
      <c r="E520" s="8"/>
      <c r="F520" s="70"/>
      <c r="G520" s="8"/>
    </row>
    <row r="521">
      <c r="B521" s="8"/>
      <c r="C521" s="8"/>
      <c r="D521" s="8"/>
      <c r="E521" s="8"/>
      <c r="F521" s="70"/>
      <c r="G521" s="8"/>
    </row>
    <row r="522">
      <c r="B522" s="8"/>
      <c r="C522" s="8"/>
      <c r="D522" s="8"/>
      <c r="E522" s="8"/>
      <c r="F522" s="70"/>
      <c r="G522" s="8"/>
    </row>
    <row r="523">
      <c r="B523" s="8"/>
      <c r="C523" s="8"/>
      <c r="D523" s="8"/>
      <c r="E523" s="8"/>
      <c r="F523" s="70"/>
      <c r="G523" s="8"/>
    </row>
    <row r="524">
      <c r="B524" s="8"/>
      <c r="C524" s="8"/>
      <c r="D524" s="8"/>
      <c r="E524" s="8"/>
      <c r="F524" s="70"/>
      <c r="G524" s="8"/>
    </row>
    <row r="525">
      <c r="B525" s="8"/>
      <c r="C525" s="8"/>
      <c r="D525" s="8"/>
      <c r="E525" s="8"/>
      <c r="F525" s="70"/>
      <c r="G525" s="8"/>
    </row>
    <row r="526">
      <c r="B526" s="8"/>
      <c r="C526" s="8"/>
      <c r="D526" s="8"/>
      <c r="E526" s="8"/>
      <c r="F526" s="70"/>
      <c r="G526" s="8"/>
    </row>
    <row r="527">
      <c r="B527" s="8"/>
      <c r="C527" s="8"/>
      <c r="D527" s="8"/>
      <c r="E527" s="8"/>
      <c r="F527" s="70"/>
      <c r="G527" s="8"/>
    </row>
    <row r="528">
      <c r="B528" s="8"/>
      <c r="C528" s="8"/>
      <c r="D528" s="8"/>
      <c r="E528" s="8"/>
      <c r="F528" s="70"/>
      <c r="G528" s="8"/>
    </row>
    <row r="529">
      <c r="B529" s="8"/>
      <c r="C529" s="8"/>
      <c r="D529" s="8"/>
      <c r="E529" s="8"/>
      <c r="F529" s="70"/>
      <c r="G529" s="8"/>
    </row>
    <row r="530">
      <c r="B530" s="8"/>
      <c r="C530" s="8"/>
      <c r="D530" s="8"/>
      <c r="E530" s="8"/>
      <c r="F530" s="70"/>
      <c r="G530" s="8"/>
    </row>
    <row r="531">
      <c r="B531" s="8"/>
      <c r="C531" s="8"/>
      <c r="D531" s="8"/>
      <c r="E531" s="8"/>
      <c r="F531" s="70"/>
      <c r="G531" s="8"/>
    </row>
    <row r="532">
      <c r="B532" s="8"/>
      <c r="C532" s="8"/>
      <c r="D532" s="8"/>
      <c r="E532" s="8"/>
      <c r="F532" s="70"/>
      <c r="G532" s="8"/>
    </row>
    <row r="533">
      <c r="B533" s="8"/>
      <c r="C533" s="8"/>
      <c r="D533" s="8"/>
      <c r="E533" s="8"/>
      <c r="F533" s="70"/>
      <c r="G533" s="8"/>
    </row>
    <row r="534">
      <c r="B534" s="8"/>
      <c r="C534" s="8"/>
      <c r="D534" s="8"/>
      <c r="E534" s="8"/>
      <c r="F534" s="70"/>
      <c r="G534" s="8"/>
    </row>
    <row r="535">
      <c r="B535" s="8"/>
      <c r="C535" s="8"/>
      <c r="D535" s="8"/>
      <c r="E535" s="8"/>
      <c r="F535" s="70"/>
      <c r="G535" s="8"/>
    </row>
    <row r="536">
      <c r="B536" s="8"/>
      <c r="C536" s="8"/>
      <c r="D536" s="8"/>
      <c r="E536" s="8"/>
      <c r="F536" s="70"/>
      <c r="G536" s="8"/>
    </row>
    <row r="537">
      <c r="B537" s="8"/>
      <c r="C537" s="8"/>
      <c r="D537" s="8"/>
      <c r="E537" s="8"/>
      <c r="F537" s="70"/>
      <c r="G537" s="8"/>
    </row>
    <row r="538">
      <c r="B538" s="8"/>
      <c r="C538" s="8"/>
      <c r="D538" s="8"/>
      <c r="E538" s="8"/>
      <c r="F538" s="70"/>
      <c r="G538" s="8"/>
    </row>
    <row r="539">
      <c r="B539" s="8"/>
      <c r="C539" s="8"/>
      <c r="D539" s="8"/>
      <c r="E539" s="8"/>
      <c r="F539" s="70"/>
      <c r="G539" s="8"/>
    </row>
    <row r="540">
      <c r="B540" s="8"/>
      <c r="C540" s="8"/>
      <c r="D540" s="8"/>
      <c r="E540" s="8"/>
      <c r="F540" s="70"/>
      <c r="G540" s="8"/>
    </row>
    <row r="541">
      <c r="B541" s="8"/>
      <c r="C541" s="8"/>
      <c r="D541" s="8"/>
      <c r="E541" s="8"/>
      <c r="F541" s="70"/>
      <c r="G541" s="8"/>
    </row>
    <row r="542">
      <c r="B542" s="8"/>
      <c r="C542" s="8"/>
      <c r="D542" s="8"/>
      <c r="E542" s="8"/>
      <c r="F542" s="70"/>
      <c r="G542" s="8"/>
    </row>
    <row r="543">
      <c r="B543" s="8"/>
      <c r="C543" s="8"/>
      <c r="D543" s="8"/>
      <c r="E543" s="8"/>
      <c r="F543" s="70"/>
      <c r="G543" s="8"/>
    </row>
    <row r="544">
      <c r="B544" s="8"/>
      <c r="C544" s="8"/>
      <c r="D544" s="8"/>
      <c r="E544" s="8"/>
      <c r="F544" s="70"/>
      <c r="G544" s="8"/>
    </row>
    <row r="545">
      <c r="B545" s="8"/>
      <c r="C545" s="8"/>
      <c r="D545" s="8"/>
      <c r="E545" s="8"/>
      <c r="F545" s="70"/>
      <c r="G545" s="8"/>
    </row>
    <row r="546">
      <c r="B546" s="8"/>
      <c r="C546" s="8"/>
      <c r="D546" s="8"/>
      <c r="E546" s="8"/>
      <c r="F546" s="70"/>
      <c r="G546" s="8"/>
    </row>
    <row r="547">
      <c r="B547" s="8"/>
      <c r="C547" s="8"/>
      <c r="D547" s="8"/>
      <c r="E547" s="8"/>
      <c r="F547" s="70"/>
      <c r="G547" s="8"/>
    </row>
    <row r="548">
      <c r="B548" s="8"/>
      <c r="C548" s="8"/>
      <c r="D548" s="8"/>
      <c r="E548" s="8"/>
      <c r="F548" s="70"/>
      <c r="G548" s="8"/>
    </row>
    <row r="549">
      <c r="B549" s="8"/>
      <c r="C549" s="8"/>
      <c r="D549" s="8"/>
      <c r="E549" s="8"/>
      <c r="F549" s="70"/>
      <c r="G549" s="8"/>
    </row>
    <row r="550">
      <c r="B550" s="8"/>
      <c r="C550" s="8"/>
      <c r="D550" s="8"/>
      <c r="E550" s="8"/>
      <c r="F550" s="70"/>
      <c r="G550" s="8"/>
    </row>
    <row r="551">
      <c r="B551" s="8"/>
      <c r="C551" s="8"/>
      <c r="D551" s="8"/>
      <c r="E551" s="8"/>
      <c r="F551" s="70"/>
      <c r="G551" s="8"/>
    </row>
    <row r="552">
      <c r="B552" s="8"/>
      <c r="C552" s="8"/>
      <c r="D552" s="8"/>
      <c r="E552" s="8"/>
      <c r="F552" s="70"/>
      <c r="G552" s="8"/>
    </row>
    <row r="553">
      <c r="B553" s="8"/>
      <c r="C553" s="8"/>
      <c r="D553" s="8"/>
      <c r="E553" s="8"/>
      <c r="F553" s="70"/>
      <c r="G553" s="8"/>
    </row>
    <row r="554">
      <c r="B554" s="8"/>
      <c r="C554" s="8"/>
      <c r="D554" s="8"/>
      <c r="E554" s="8"/>
      <c r="F554" s="70"/>
      <c r="G554" s="8"/>
    </row>
    <row r="555">
      <c r="B555" s="8"/>
      <c r="C555" s="8"/>
      <c r="D555" s="8"/>
      <c r="E555" s="8"/>
      <c r="F555" s="70"/>
      <c r="G555" s="8"/>
    </row>
    <row r="556">
      <c r="B556" s="8"/>
      <c r="C556" s="8"/>
      <c r="D556" s="8"/>
      <c r="E556" s="8"/>
      <c r="F556" s="70"/>
      <c r="G556" s="8"/>
    </row>
    <row r="557">
      <c r="B557" s="8"/>
      <c r="C557" s="8"/>
      <c r="D557" s="8"/>
      <c r="E557" s="8"/>
      <c r="F557" s="70"/>
      <c r="G557" s="8"/>
    </row>
    <row r="558">
      <c r="B558" s="8"/>
      <c r="C558" s="8"/>
      <c r="D558" s="8"/>
      <c r="E558" s="8"/>
      <c r="F558" s="70"/>
      <c r="G558" s="8"/>
    </row>
    <row r="559">
      <c r="B559" s="8"/>
      <c r="C559" s="8"/>
      <c r="D559" s="8"/>
      <c r="E559" s="8"/>
      <c r="F559" s="70"/>
      <c r="G559" s="8"/>
    </row>
    <row r="560">
      <c r="B560" s="8"/>
      <c r="C560" s="8"/>
      <c r="D560" s="8"/>
      <c r="E560" s="8"/>
      <c r="F560" s="70"/>
      <c r="G560" s="8"/>
    </row>
    <row r="561">
      <c r="B561" s="8"/>
      <c r="C561" s="8"/>
      <c r="D561" s="8"/>
      <c r="E561" s="8"/>
      <c r="F561" s="70"/>
      <c r="G561" s="8"/>
    </row>
    <row r="562">
      <c r="B562" s="8"/>
      <c r="C562" s="8"/>
      <c r="D562" s="8"/>
      <c r="E562" s="8"/>
      <c r="F562" s="70"/>
      <c r="G562" s="8"/>
    </row>
    <row r="563">
      <c r="B563" s="8"/>
      <c r="C563" s="8"/>
      <c r="D563" s="8"/>
      <c r="E563" s="8"/>
      <c r="F563" s="70"/>
      <c r="G563" s="8"/>
    </row>
    <row r="564">
      <c r="B564" s="8"/>
      <c r="C564" s="8"/>
      <c r="D564" s="8"/>
      <c r="E564" s="8"/>
      <c r="F564" s="70"/>
      <c r="G564" s="8"/>
    </row>
    <row r="565">
      <c r="B565" s="8"/>
      <c r="C565" s="8"/>
      <c r="D565" s="8"/>
      <c r="E565" s="8"/>
      <c r="F565" s="70"/>
      <c r="G565" s="8"/>
    </row>
    <row r="566">
      <c r="B566" s="8"/>
      <c r="C566" s="8"/>
      <c r="D566" s="8"/>
      <c r="E566" s="8"/>
      <c r="F566" s="70"/>
      <c r="G566" s="8"/>
    </row>
    <row r="567">
      <c r="B567" s="8"/>
      <c r="C567" s="8"/>
      <c r="D567" s="8"/>
      <c r="E567" s="8"/>
      <c r="F567" s="70"/>
      <c r="G567" s="8"/>
    </row>
    <row r="568">
      <c r="B568" s="8"/>
      <c r="C568" s="8"/>
      <c r="D568" s="8"/>
      <c r="E568" s="8"/>
      <c r="F568" s="70"/>
      <c r="G568" s="8"/>
    </row>
    <row r="569">
      <c r="B569" s="8"/>
      <c r="C569" s="8"/>
      <c r="D569" s="8"/>
      <c r="E569" s="8"/>
      <c r="F569" s="70"/>
      <c r="G569" s="8"/>
    </row>
    <row r="570">
      <c r="B570" s="8"/>
      <c r="C570" s="8"/>
      <c r="D570" s="8"/>
      <c r="E570" s="8"/>
      <c r="F570" s="70"/>
      <c r="G570" s="8"/>
    </row>
    <row r="571">
      <c r="B571" s="8"/>
      <c r="C571" s="8"/>
      <c r="D571" s="8"/>
      <c r="E571" s="8"/>
      <c r="F571" s="70"/>
      <c r="G571" s="8"/>
    </row>
    <row r="572">
      <c r="B572" s="8"/>
      <c r="C572" s="8"/>
      <c r="D572" s="8"/>
      <c r="E572" s="8"/>
      <c r="F572" s="70"/>
      <c r="G572" s="8"/>
    </row>
    <row r="573">
      <c r="B573" s="8"/>
      <c r="C573" s="8"/>
      <c r="D573" s="8"/>
      <c r="E573" s="8"/>
      <c r="F573" s="70"/>
      <c r="G573" s="8"/>
    </row>
    <row r="574">
      <c r="B574" s="8"/>
      <c r="C574" s="8"/>
      <c r="D574" s="8"/>
      <c r="E574" s="8"/>
      <c r="F574" s="70"/>
      <c r="G574" s="8"/>
    </row>
    <row r="575">
      <c r="B575" s="8"/>
      <c r="C575" s="8"/>
      <c r="D575" s="8"/>
      <c r="E575" s="8"/>
      <c r="F575" s="70"/>
      <c r="G575" s="8"/>
    </row>
    <row r="576">
      <c r="B576" s="8"/>
      <c r="C576" s="8"/>
      <c r="D576" s="8"/>
      <c r="E576" s="8"/>
      <c r="F576" s="70"/>
      <c r="G576" s="8"/>
    </row>
    <row r="577">
      <c r="B577" s="8"/>
      <c r="C577" s="8"/>
      <c r="D577" s="8"/>
      <c r="E577" s="8"/>
      <c r="F577" s="70"/>
      <c r="G577" s="8"/>
    </row>
    <row r="578">
      <c r="B578" s="8"/>
      <c r="C578" s="8"/>
      <c r="D578" s="8"/>
      <c r="E578" s="8"/>
      <c r="F578" s="70"/>
      <c r="G578" s="8"/>
    </row>
    <row r="579">
      <c r="B579" s="8"/>
      <c r="C579" s="8"/>
      <c r="D579" s="8"/>
      <c r="E579" s="8"/>
      <c r="F579" s="70"/>
      <c r="G579" s="8"/>
    </row>
    <row r="580">
      <c r="B580" s="8"/>
      <c r="C580" s="8"/>
      <c r="D580" s="8"/>
      <c r="E580" s="8"/>
      <c r="F580" s="70"/>
      <c r="G580" s="8"/>
    </row>
    <row r="581">
      <c r="B581" s="8"/>
      <c r="C581" s="8"/>
      <c r="D581" s="8"/>
      <c r="E581" s="8"/>
      <c r="F581" s="70"/>
      <c r="G581" s="8"/>
    </row>
    <row r="582">
      <c r="B582" s="8"/>
      <c r="C582" s="8"/>
      <c r="D582" s="8"/>
      <c r="E582" s="8"/>
      <c r="F582" s="70"/>
      <c r="G582" s="8"/>
    </row>
    <row r="583">
      <c r="B583" s="8"/>
      <c r="C583" s="8"/>
      <c r="D583" s="8"/>
      <c r="E583" s="8"/>
      <c r="F583" s="70"/>
      <c r="G583" s="8"/>
    </row>
    <row r="584">
      <c r="B584" s="8"/>
      <c r="C584" s="8"/>
      <c r="D584" s="8"/>
      <c r="E584" s="8"/>
      <c r="F584" s="70"/>
      <c r="G584" s="8"/>
    </row>
    <row r="585">
      <c r="B585" s="8"/>
      <c r="C585" s="8"/>
      <c r="D585" s="8"/>
      <c r="E585" s="8"/>
      <c r="F585" s="70"/>
      <c r="G585" s="8"/>
    </row>
    <row r="586">
      <c r="B586" s="8"/>
      <c r="C586" s="8"/>
      <c r="D586" s="8"/>
      <c r="E586" s="8"/>
      <c r="F586" s="70"/>
      <c r="G586" s="8"/>
    </row>
    <row r="587">
      <c r="B587" s="8"/>
      <c r="C587" s="8"/>
      <c r="D587" s="8"/>
      <c r="E587" s="8"/>
      <c r="F587" s="70"/>
      <c r="G587" s="8"/>
    </row>
    <row r="588">
      <c r="B588" s="8"/>
      <c r="C588" s="8"/>
      <c r="D588" s="8"/>
      <c r="E588" s="8"/>
      <c r="F588" s="70"/>
      <c r="G588" s="8"/>
    </row>
    <row r="589">
      <c r="B589" s="8"/>
      <c r="C589" s="8"/>
      <c r="D589" s="8"/>
      <c r="E589" s="8"/>
      <c r="F589" s="70"/>
      <c r="G589" s="8"/>
    </row>
    <row r="590">
      <c r="B590" s="8"/>
      <c r="C590" s="8"/>
      <c r="D590" s="8"/>
      <c r="E590" s="8"/>
      <c r="F590" s="70"/>
      <c r="G590" s="8"/>
    </row>
    <row r="591">
      <c r="B591" s="8"/>
      <c r="C591" s="8"/>
      <c r="D591" s="8"/>
      <c r="E591" s="8"/>
      <c r="F591" s="70"/>
      <c r="G591" s="8"/>
    </row>
    <row r="592">
      <c r="B592" s="8"/>
      <c r="C592" s="8"/>
      <c r="D592" s="8"/>
      <c r="E592" s="8"/>
      <c r="F592" s="70"/>
      <c r="G592" s="8"/>
    </row>
    <row r="593">
      <c r="B593" s="8"/>
      <c r="C593" s="8"/>
      <c r="D593" s="8"/>
      <c r="E593" s="8"/>
      <c r="F593" s="70"/>
      <c r="G593" s="8"/>
    </row>
    <row r="594">
      <c r="B594" s="8"/>
      <c r="C594" s="8"/>
      <c r="D594" s="8"/>
      <c r="E594" s="8"/>
      <c r="F594" s="70"/>
      <c r="G594" s="8"/>
    </row>
    <row r="595">
      <c r="B595" s="8"/>
      <c r="C595" s="8"/>
      <c r="D595" s="8"/>
      <c r="E595" s="8"/>
      <c r="F595" s="70"/>
      <c r="G595" s="8"/>
    </row>
    <row r="596">
      <c r="B596" s="8"/>
      <c r="C596" s="8"/>
      <c r="D596" s="8"/>
      <c r="E596" s="8"/>
      <c r="F596" s="70"/>
      <c r="G596" s="8"/>
    </row>
    <row r="597">
      <c r="B597" s="8"/>
      <c r="C597" s="8"/>
      <c r="D597" s="8"/>
      <c r="E597" s="8"/>
      <c r="F597" s="70"/>
      <c r="G597" s="8"/>
    </row>
    <row r="598">
      <c r="B598" s="8"/>
      <c r="C598" s="8"/>
      <c r="D598" s="8"/>
      <c r="E598" s="8"/>
      <c r="F598" s="70"/>
      <c r="G598" s="8"/>
    </row>
    <row r="599">
      <c r="B599" s="8"/>
      <c r="C599" s="8"/>
      <c r="D599" s="8"/>
      <c r="E599" s="8"/>
      <c r="F599" s="70"/>
      <c r="G599" s="8"/>
    </row>
    <row r="600">
      <c r="B600" s="8"/>
      <c r="C600" s="8"/>
      <c r="D600" s="8"/>
      <c r="E600" s="8"/>
      <c r="F600" s="70"/>
      <c r="G600" s="8"/>
    </row>
    <row r="601">
      <c r="B601" s="8"/>
      <c r="C601" s="8"/>
      <c r="D601" s="8"/>
      <c r="E601" s="8"/>
      <c r="F601" s="70"/>
      <c r="G601" s="8"/>
    </row>
    <row r="602">
      <c r="B602" s="8"/>
      <c r="C602" s="8"/>
      <c r="D602" s="8"/>
      <c r="E602" s="8"/>
      <c r="F602" s="70"/>
      <c r="G602" s="8"/>
    </row>
    <row r="603">
      <c r="B603" s="8"/>
      <c r="C603" s="8"/>
      <c r="D603" s="8"/>
      <c r="E603" s="8"/>
      <c r="F603" s="70"/>
      <c r="G603" s="8"/>
    </row>
    <row r="604">
      <c r="B604" s="8"/>
      <c r="C604" s="8"/>
      <c r="D604" s="8"/>
      <c r="E604" s="8"/>
      <c r="F604" s="70"/>
      <c r="G604" s="8"/>
    </row>
    <row r="605">
      <c r="B605" s="8"/>
      <c r="C605" s="8"/>
      <c r="D605" s="8"/>
      <c r="E605" s="8"/>
      <c r="F605" s="70"/>
      <c r="G605" s="8"/>
    </row>
    <row r="606">
      <c r="B606" s="8"/>
      <c r="C606" s="8"/>
      <c r="D606" s="8"/>
      <c r="E606" s="8"/>
      <c r="F606" s="70"/>
      <c r="G606" s="8"/>
    </row>
    <row r="607">
      <c r="B607" s="8"/>
      <c r="C607" s="8"/>
      <c r="D607" s="8"/>
      <c r="E607" s="8"/>
      <c r="F607" s="70"/>
      <c r="G607" s="8"/>
    </row>
    <row r="608">
      <c r="B608" s="8"/>
      <c r="C608" s="8"/>
      <c r="D608" s="8"/>
      <c r="E608" s="8"/>
      <c r="F608" s="70"/>
      <c r="G608" s="8"/>
    </row>
    <row r="609">
      <c r="B609" s="8"/>
      <c r="C609" s="8"/>
      <c r="D609" s="8"/>
      <c r="E609" s="8"/>
      <c r="F609" s="70"/>
      <c r="G609" s="8"/>
    </row>
    <row r="610">
      <c r="B610" s="8"/>
      <c r="C610" s="8"/>
      <c r="D610" s="8"/>
      <c r="E610" s="8"/>
      <c r="F610" s="70"/>
      <c r="G610" s="8"/>
    </row>
    <row r="611">
      <c r="B611" s="8"/>
      <c r="C611" s="8"/>
      <c r="D611" s="8"/>
      <c r="E611" s="8"/>
      <c r="F611" s="70"/>
      <c r="G611" s="8"/>
    </row>
    <row r="612">
      <c r="B612" s="8"/>
      <c r="C612" s="8"/>
      <c r="D612" s="8"/>
      <c r="E612" s="8"/>
      <c r="F612" s="70"/>
      <c r="G612" s="8"/>
    </row>
    <row r="613">
      <c r="B613" s="8"/>
      <c r="C613" s="8"/>
      <c r="D613" s="8"/>
      <c r="E613" s="8"/>
      <c r="F613" s="70"/>
      <c r="G613" s="8"/>
    </row>
    <row r="614">
      <c r="B614" s="8"/>
      <c r="C614" s="8"/>
      <c r="D614" s="8"/>
      <c r="E614" s="8"/>
      <c r="F614" s="70"/>
      <c r="G614" s="8"/>
    </row>
    <row r="615">
      <c r="B615" s="8"/>
      <c r="C615" s="8"/>
      <c r="D615" s="8"/>
      <c r="E615" s="8"/>
      <c r="F615" s="70"/>
      <c r="G615" s="8"/>
    </row>
    <row r="616">
      <c r="B616" s="8"/>
      <c r="C616" s="8"/>
      <c r="D616" s="8"/>
      <c r="E616" s="8"/>
      <c r="F616" s="70"/>
      <c r="G616" s="8"/>
    </row>
    <row r="617">
      <c r="B617" s="8"/>
      <c r="C617" s="8"/>
      <c r="D617" s="8"/>
      <c r="E617" s="8"/>
      <c r="F617" s="70"/>
      <c r="G617" s="8"/>
    </row>
    <row r="618">
      <c r="B618" s="8"/>
      <c r="C618" s="8"/>
      <c r="D618" s="8"/>
      <c r="E618" s="8"/>
      <c r="F618" s="70"/>
      <c r="G618" s="8"/>
    </row>
    <row r="619">
      <c r="B619" s="8"/>
      <c r="C619" s="8"/>
      <c r="D619" s="8"/>
      <c r="E619" s="8"/>
      <c r="F619" s="70"/>
      <c r="G619" s="8"/>
    </row>
    <row r="620">
      <c r="B620" s="8"/>
      <c r="C620" s="8"/>
      <c r="D620" s="8"/>
      <c r="E620" s="8"/>
      <c r="F620" s="70"/>
      <c r="G620" s="8"/>
    </row>
    <row r="621">
      <c r="B621" s="8"/>
      <c r="C621" s="8"/>
      <c r="D621" s="8"/>
      <c r="E621" s="8"/>
      <c r="F621" s="70"/>
      <c r="G621" s="8"/>
    </row>
    <row r="622">
      <c r="B622" s="8"/>
      <c r="C622" s="8"/>
      <c r="D622" s="8"/>
      <c r="E622" s="8"/>
      <c r="F622" s="70"/>
      <c r="G622" s="8"/>
    </row>
    <row r="623">
      <c r="B623" s="8"/>
      <c r="C623" s="8"/>
      <c r="D623" s="8"/>
      <c r="E623" s="8"/>
      <c r="F623" s="70"/>
      <c r="G623" s="8"/>
    </row>
    <row r="624">
      <c r="B624" s="8"/>
      <c r="C624" s="8"/>
      <c r="D624" s="8"/>
      <c r="E624" s="8"/>
      <c r="F624" s="70"/>
      <c r="G624" s="8"/>
    </row>
    <row r="625">
      <c r="B625" s="8"/>
      <c r="C625" s="8"/>
      <c r="D625" s="8"/>
      <c r="E625" s="8"/>
      <c r="F625" s="70"/>
      <c r="G625" s="8"/>
    </row>
    <row r="626">
      <c r="B626" s="8"/>
      <c r="C626" s="8"/>
      <c r="D626" s="8"/>
      <c r="E626" s="8"/>
      <c r="F626" s="70"/>
      <c r="G626" s="8"/>
    </row>
    <row r="627">
      <c r="B627" s="8"/>
      <c r="C627" s="8"/>
      <c r="D627" s="8"/>
      <c r="E627" s="8"/>
      <c r="F627" s="70"/>
      <c r="G627" s="8"/>
    </row>
    <row r="628">
      <c r="B628" s="8"/>
      <c r="C628" s="8"/>
      <c r="D628" s="8"/>
      <c r="E628" s="8"/>
      <c r="F628" s="70"/>
      <c r="G628" s="8"/>
    </row>
    <row r="629">
      <c r="B629" s="8"/>
      <c r="C629" s="8"/>
      <c r="D629" s="8"/>
      <c r="E629" s="8"/>
      <c r="F629" s="70"/>
      <c r="G629" s="8"/>
    </row>
    <row r="630">
      <c r="B630" s="8"/>
      <c r="C630" s="8"/>
      <c r="D630" s="8"/>
      <c r="E630" s="8"/>
      <c r="F630" s="70"/>
      <c r="G630" s="8"/>
    </row>
    <row r="631">
      <c r="B631" s="8"/>
      <c r="C631" s="8"/>
      <c r="D631" s="8"/>
      <c r="E631" s="8"/>
      <c r="F631" s="70"/>
      <c r="G631" s="8"/>
    </row>
    <row r="632">
      <c r="B632" s="8"/>
      <c r="C632" s="8"/>
      <c r="D632" s="8"/>
      <c r="E632" s="8"/>
      <c r="F632" s="70"/>
      <c r="G632" s="8"/>
    </row>
    <row r="633">
      <c r="B633" s="8"/>
      <c r="C633" s="8"/>
      <c r="D633" s="8"/>
      <c r="E633" s="8"/>
      <c r="F633" s="70"/>
      <c r="G633" s="8"/>
    </row>
    <row r="634">
      <c r="B634" s="8"/>
      <c r="C634" s="8"/>
      <c r="D634" s="8"/>
      <c r="E634" s="8"/>
      <c r="F634" s="70"/>
      <c r="G634" s="8"/>
    </row>
    <row r="635">
      <c r="B635" s="8"/>
      <c r="C635" s="8"/>
      <c r="D635" s="8"/>
      <c r="E635" s="8"/>
      <c r="F635" s="70"/>
      <c r="G635" s="8"/>
    </row>
    <row r="636">
      <c r="B636" s="8"/>
      <c r="C636" s="8"/>
      <c r="D636" s="8"/>
      <c r="E636" s="8"/>
      <c r="F636" s="70"/>
      <c r="G636" s="8"/>
    </row>
    <row r="637">
      <c r="B637" s="8"/>
      <c r="C637" s="8"/>
      <c r="D637" s="8"/>
      <c r="E637" s="8"/>
      <c r="F637" s="70"/>
      <c r="G637" s="8"/>
    </row>
    <row r="638">
      <c r="B638" s="8"/>
      <c r="C638" s="8"/>
      <c r="D638" s="8"/>
      <c r="E638" s="8"/>
      <c r="F638" s="70"/>
      <c r="G638" s="8"/>
    </row>
    <row r="639">
      <c r="B639" s="8"/>
      <c r="C639" s="8"/>
      <c r="D639" s="8"/>
      <c r="E639" s="8"/>
      <c r="F639" s="70"/>
      <c r="G639" s="8"/>
    </row>
    <row r="640">
      <c r="B640" s="8"/>
      <c r="C640" s="8"/>
      <c r="D640" s="8"/>
      <c r="E640" s="8"/>
      <c r="F640" s="70"/>
      <c r="G640" s="8"/>
    </row>
    <row r="641">
      <c r="B641" s="8"/>
      <c r="C641" s="8"/>
      <c r="D641" s="8"/>
      <c r="E641" s="8"/>
      <c r="F641" s="70"/>
      <c r="G641" s="8"/>
    </row>
    <row r="642">
      <c r="B642" s="8"/>
      <c r="C642" s="8"/>
      <c r="D642" s="8"/>
      <c r="E642" s="8"/>
      <c r="F642" s="70"/>
      <c r="G642" s="8"/>
    </row>
    <row r="643">
      <c r="B643" s="8"/>
      <c r="C643" s="8"/>
      <c r="D643" s="8"/>
      <c r="E643" s="8"/>
      <c r="F643" s="70"/>
      <c r="G643" s="8"/>
    </row>
    <row r="644">
      <c r="B644" s="8"/>
      <c r="C644" s="8"/>
      <c r="D644" s="8"/>
      <c r="E644" s="8"/>
      <c r="F644" s="70"/>
      <c r="G644" s="8"/>
    </row>
    <row r="645">
      <c r="B645" s="8"/>
      <c r="C645" s="8"/>
      <c r="D645" s="8"/>
      <c r="E645" s="8"/>
      <c r="F645" s="70"/>
      <c r="G645" s="8"/>
    </row>
    <row r="646">
      <c r="B646" s="8"/>
      <c r="C646" s="8"/>
      <c r="D646" s="8"/>
      <c r="E646" s="8"/>
      <c r="F646" s="70"/>
      <c r="G646" s="8"/>
    </row>
    <row r="647">
      <c r="B647" s="8"/>
      <c r="C647" s="8"/>
      <c r="D647" s="8"/>
      <c r="E647" s="8"/>
      <c r="F647" s="70"/>
      <c r="G647" s="8"/>
    </row>
    <row r="648">
      <c r="B648" s="8"/>
      <c r="C648" s="8"/>
      <c r="D648" s="8"/>
      <c r="E648" s="8"/>
      <c r="F648" s="70"/>
      <c r="G648" s="8"/>
    </row>
    <row r="649">
      <c r="B649" s="8"/>
      <c r="C649" s="8"/>
      <c r="D649" s="8"/>
      <c r="E649" s="8"/>
      <c r="F649" s="70"/>
      <c r="G649" s="8"/>
    </row>
    <row r="650">
      <c r="B650" s="8"/>
      <c r="C650" s="8"/>
      <c r="D650" s="8"/>
      <c r="E650" s="8"/>
      <c r="F650" s="70"/>
      <c r="G650" s="8"/>
    </row>
    <row r="651">
      <c r="B651" s="8"/>
      <c r="C651" s="8"/>
      <c r="D651" s="8"/>
      <c r="E651" s="8"/>
      <c r="F651" s="70"/>
      <c r="G651" s="8"/>
    </row>
    <row r="652">
      <c r="B652" s="8"/>
      <c r="C652" s="8"/>
      <c r="D652" s="8"/>
      <c r="E652" s="8"/>
      <c r="F652" s="70"/>
      <c r="G652" s="8"/>
    </row>
    <row r="653">
      <c r="B653" s="8"/>
      <c r="C653" s="8"/>
      <c r="D653" s="8"/>
      <c r="E653" s="8"/>
      <c r="F653" s="70"/>
      <c r="G653" s="8"/>
    </row>
    <row r="654">
      <c r="B654" s="8"/>
      <c r="C654" s="8"/>
      <c r="D654" s="8"/>
      <c r="E654" s="8"/>
      <c r="F654" s="70"/>
      <c r="G654" s="8"/>
    </row>
    <row r="655">
      <c r="B655" s="8"/>
      <c r="C655" s="8"/>
      <c r="D655" s="8"/>
      <c r="E655" s="8"/>
      <c r="F655" s="70"/>
      <c r="G655" s="8"/>
    </row>
    <row r="656">
      <c r="B656" s="8"/>
      <c r="C656" s="8"/>
      <c r="D656" s="8"/>
      <c r="E656" s="8"/>
      <c r="F656" s="70"/>
      <c r="G656" s="8"/>
    </row>
    <row r="657">
      <c r="B657" s="8"/>
      <c r="C657" s="8"/>
      <c r="D657" s="8"/>
      <c r="E657" s="8"/>
      <c r="F657" s="70"/>
      <c r="G657" s="8"/>
    </row>
    <row r="658">
      <c r="B658" s="8"/>
      <c r="C658" s="8"/>
      <c r="D658" s="8"/>
      <c r="E658" s="8"/>
      <c r="F658" s="70"/>
      <c r="G658" s="8"/>
    </row>
    <row r="659">
      <c r="B659" s="8"/>
      <c r="C659" s="8"/>
      <c r="D659" s="8"/>
      <c r="E659" s="8"/>
      <c r="F659" s="70"/>
      <c r="G659" s="8"/>
    </row>
    <row r="660">
      <c r="B660" s="8"/>
      <c r="C660" s="8"/>
      <c r="D660" s="8"/>
      <c r="E660" s="8"/>
      <c r="F660" s="70"/>
      <c r="G660" s="8"/>
    </row>
    <row r="661">
      <c r="B661" s="8"/>
      <c r="C661" s="8"/>
      <c r="D661" s="8"/>
      <c r="E661" s="8"/>
      <c r="F661" s="70"/>
      <c r="G661" s="8"/>
    </row>
    <row r="662">
      <c r="B662" s="8"/>
      <c r="C662" s="8"/>
      <c r="D662" s="8"/>
      <c r="E662" s="8"/>
      <c r="F662" s="70"/>
      <c r="G662" s="8"/>
    </row>
    <row r="663">
      <c r="B663" s="8"/>
      <c r="C663" s="8"/>
      <c r="D663" s="8"/>
      <c r="E663" s="8"/>
      <c r="F663" s="70"/>
      <c r="G663" s="8"/>
    </row>
    <row r="664">
      <c r="B664" s="8"/>
      <c r="C664" s="8"/>
      <c r="D664" s="8"/>
      <c r="E664" s="8"/>
      <c r="F664" s="70"/>
      <c r="G664" s="8"/>
    </row>
    <row r="665">
      <c r="B665" s="8"/>
      <c r="C665" s="8"/>
      <c r="D665" s="8"/>
      <c r="E665" s="8"/>
      <c r="F665" s="70"/>
      <c r="G665" s="8"/>
    </row>
    <row r="666">
      <c r="B666" s="8"/>
      <c r="C666" s="8"/>
      <c r="D666" s="8"/>
      <c r="E666" s="8"/>
      <c r="F666" s="70"/>
      <c r="G666" s="8"/>
    </row>
    <row r="667">
      <c r="B667" s="8"/>
      <c r="C667" s="8"/>
      <c r="D667" s="8"/>
      <c r="E667" s="8"/>
      <c r="F667" s="70"/>
      <c r="G667" s="8"/>
    </row>
    <row r="668">
      <c r="B668" s="8"/>
      <c r="C668" s="8"/>
      <c r="D668" s="8"/>
      <c r="E668" s="8"/>
      <c r="F668" s="70"/>
      <c r="G668" s="8"/>
    </row>
    <row r="669">
      <c r="B669" s="8"/>
      <c r="C669" s="8"/>
      <c r="D669" s="8"/>
      <c r="E669" s="8"/>
      <c r="F669" s="70"/>
      <c r="G669" s="8"/>
    </row>
    <row r="670">
      <c r="B670" s="8"/>
      <c r="C670" s="8"/>
      <c r="D670" s="8"/>
      <c r="E670" s="8"/>
      <c r="F670" s="70"/>
      <c r="G670" s="8"/>
    </row>
    <row r="671">
      <c r="B671" s="8"/>
      <c r="C671" s="8"/>
      <c r="D671" s="8"/>
      <c r="E671" s="8"/>
      <c r="F671" s="70"/>
      <c r="G671" s="8"/>
    </row>
    <row r="672">
      <c r="B672" s="8"/>
      <c r="C672" s="8"/>
      <c r="D672" s="8"/>
      <c r="E672" s="8"/>
      <c r="F672" s="70"/>
      <c r="G672" s="8"/>
    </row>
    <row r="673">
      <c r="B673" s="8"/>
      <c r="C673" s="8"/>
      <c r="D673" s="8"/>
      <c r="E673" s="8"/>
      <c r="F673" s="70"/>
      <c r="G673" s="8"/>
    </row>
    <row r="674">
      <c r="B674" s="8"/>
      <c r="C674" s="8"/>
      <c r="D674" s="8"/>
      <c r="E674" s="8"/>
      <c r="F674" s="70"/>
      <c r="G674" s="8"/>
    </row>
    <row r="675">
      <c r="B675" s="8"/>
      <c r="C675" s="8"/>
      <c r="D675" s="8"/>
      <c r="E675" s="8"/>
      <c r="F675" s="70"/>
      <c r="G675" s="8"/>
    </row>
    <row r="676">
      <c r="B676" s="8"/>
      <c r="C676" s="8"/>
      <c r="D676" s="8"/>
      <c r="E676" s="8"/>
      <c r="F676" s="70"/>
      <c r="G676" s="8"/>
    </row>
    <row r="677">
      <c r="B677" s="8"/>
      <c r="C677" s="8"/>
      <c r="D677" s="8"/>
      <c r="E677" s="8"/>
      <c r="F677" s="70"/>
      <c r="G677" s="8"/>
    </row>
    <row r="678">
      <c r="B678" s="8"/>
      <c r="C678" s="8"/>
      <c r="D678" s="8"/>
      <c r="E678" s="8"/>
      <c r="F678" s="70"/>
      <c r="G678" s="8"/>
    </row>
    <row r="679">
      <c r="B679" s="8"/>
      <c r="C679" s="8"/>
      <c r="D679" s="8"/>
      <c r="E679" s="8"/>
      <c r="F679" s="70"/>
      <c r="G679" s="8"/>
    </row>
    <row r="680">
      <c r="B680" s="8"/>
      <c r="C680" s="8"/>
      <c r="D680" s="8"/>
      <c r="E680" s="8"/>
      <c r="F680" s="70"/>
      <c r="G680" s="8"/>
    </row>
    <row r="681">
      <c r="B681" s="8"/>
      <c r="C681" s="8"/>
      <c r="D681" s="8"/>
      <c r="E681" s="8"/>
      <c r="F681" s="70"/>
      <c r="G681" s="8"/>
    </row>
    <row r="682">
      <c r="B682" s="8"/>
      <c r="C682" s="8"/>
      <c r="D682" s="8"/>
      <c r="E682" s="8"/>
      <c r="F682" s="70"/>
      <c r="G682" s="8"/>
    </row>
    <row r="683">
      <c r="B683" s="8"/>
      <c r="C683" s="8"/>
      <c r="D683" s="8"/>
      <c r="E683" s="8"/>
      <c r="F683" s="70"/>
      <c r="G683" s="8"/>
    </row>
    <row r="684">
      <c r="B684" s="8"/>
      <c r="C684" s="8"/>
      <c r="D684" s="8"/>
      <c r="E684" s="8"/>
      <c r="F684" s="70"/>
      <c r="G684" s="8"/>
    </row>
    <row r="685">
      <c r="B685" s="8"/>
      <c r="C685" s="8"/>
      <c r="D685" s="8"/>
      <c r="E685" s="8"/>
      <c r="F685" s="70"/>
      <c r="G685" s="8"/>
    </row>
    <row r="686">
      <c r="B686" s="8"/>
      <c r="C686" s="8"/>
      <c r="D686" s="8"/>
      <c r="E686" s="8"/>
      <c r="F686" s="70"/>
      <c r="G686" s="8"/>
    </row>
    <row r="687">
      <c r="B687" s="8"/>
      <c r="C687" s="8"/>
      <c r="D687" s="8"/>
      <c r="E687" s="8"/>
      <c r="F687" s="70"/>
      <c r="G687" s="8"/>
    </row>
    <row r="688">
      <c r="B688" s="8"/>
      <c r="C688" s="8"/>
      <c r="D688" s="8"/>
      <c r="E688" s="8"/>
      <c r="F688" s="70"/>
      <c r="G688" s="8"/>
    </row>
    <row r="689">
      <c r="B689" s="8"/>
      <c r="C689" s="8"/>
      <c r="D689" s="8"/>
      <c r="E689" s="8"/>
      <c r="F689" s="70"/>
      <c r="G689" s="8"/>
    </row>
    <row r="690">
      <c r="B690" s="8"/>
      <c r="C690" s="8"/>
      <c r="D690" s="8"/>
      <c r="E690" s="8"/>
      <c r="F690" s="70"/>
      <c r="G690" s="8"/>
    </row>
    <row r="691">
      <c r="B691" s="8"/>
      <c r="C691" s="8"/>
      <c r="D691" s="8"/>
      <c r="E691" s="8"/>
      <c r="F691" s="70"/>
      <c r="G691" s="8"/>
    </row>
    <row r="692">
      <c r="B692" s="8"/>
      <c r="C692" s="8"/>
      <c r="D692" s="8"/>
      <c r="E692" s="8"/>
      <c r="F692" s="70"/>
      <c r="G692" s="8"/>
    </row>
    <row r="693">
      <c r="B693" s="8"/>
      <c r="C693" s="8"/>
      <c r="D693" s="8"/>
      <c r="E693" s="8"/>
      <c r="F693" s="70"/>
      <c r="G693" s="8"/>
    </row>
    <row r="694">
      <c r="B694" s="8"/>
      <c r="C694" s="8"/>
      <c r="D694" s="8"/>
      <c r="E694" s="8"/>
      <c r="F694" s="70"/>
      <c r="G694" s="8"/>
    </row>
    <row r="695">
      <c r="B695" s="8"/>
      <c r="C695" s="8"/>
      <c r="D695" s="8"/>
      <c r="E695" s="8"/>
      <c r="F695" s="70"/>
      <c r="G695" s="8"/>
    </row>
    <row r="696">
      <c r="B696" s="8"/>
      <c r="C696" s="8"/>
      <c r="D696" s="8"/>
      <c r="E696" s="8"/>
      <c r="F696" s="70"/>
      <c r="G696" s="8"/>
    </row>
    <row r="697">
      <c r="B697" s="8"/>
      <c r="C697" s="8"/>
      <c r="D697" s="8"/>
      <c r="E697" s="8"/>
      <c r="F697" s="70"/>
      <c r="G697" s="8"/>
    </row>
    <row r="698">
      <c r="B698" s="8"/>
      <c r="C698" s="8"/>
      <c r="D698" s="8"/>
      <c r="E698" s="8"/>
      <c r="F698" s="70"/>
      <c r="G698" s="8"/>
    </row>
    <row r="699">
      <c r="B699" s="8"/>
      <c r="C699" s="8"/>
      <c r="D699" s="8"/>
      <c r="E699" s="8"/>
      <c r="F699" s="70"/>
      <c r="G699" s="8"/>
    </row>
    <row r="700">
      <c r="B700" s="8"/>
      <c r="C700" s="8"/>
      <c r="D700" s="8"/>
      <c r="E700" s="8"/>
      <c r="F700" s="70"/>
      <c r="G700" s="8"/>
    </row>
    <row r="701">
      <c r="B701" s="8"/>
      <c r="C701" s="8"/>
      <c r="D701" s="8"/>
      <c r="E701" s="8"/>
      <c r="F701" s="70"/>
      <c r="G701" s="8"/>
    </row>
    <row r="702">
      <c r="B702" s="8"/>
      <c r="C702" s="8"/>
      <c r="D702" s="8"/>
      <c r="E702" s="8"/>
      <c r="F702" s="70"/>
      <c r="G702" s="8"/>
    </row>
    <row r="703">
      <c r="B703" s="8"/>
      <c r="C703" s="8"/>
      <c r="D703" s="8"/>
      <c r="E703" s="8"/>
      <c r="F703" s="70"/>
      <c r="G703" s="8"/>
    </row>
    <row r="704">
      <c r="B704" s="8"/>
      <c r="C704" s="8"/>
      <c r="D704" s="8"/>
      <c r="E704" s="8"/>
      <c r="F704" s="70"/>
      <c r="G704" s="8"/>
    </row>
    <row r="705">
      <c r="B705" s="8"/>
      <c r="C705" s="8"/>
      <c r="D705" s="8"/>
      <c r="E705" s="8"/>
      <c r="F705" s="70"/>
      <c r="G705" s="8"/>
    </row>
    <row r="706">
      <c r="B706" s="8"/>
      <c r="C706" s="8"/>
      <c r="D706" s="8"/>
      <c r="E706" s="8"/>
      <c r="F706" s="70"/>
      <c r="G706" s="8"/>
    </row>
    <row r="707">
      <c r="B707" s="8"/>
      <c r="C707" s="8"/>
      <c r="D707" s="8"/>
      <c r="E707" s="8"/>
      <c r="F707" s="70"/>
      <c r="G707" s="8"/>
    </row>
    <row r="708">
      <c r="B708" s="8"/>
      <c r="C708" s="8"/>
      <c r="D708" s="8"/>
      <c r="E708" s="8"/>
      <c r="F708" s="70"/>
      <c r="G708" s="8"/>
    </row>
    <row r="709">
      <c r="B709" s="8"/>
      <c r="C709" s="8"/>
      <c r="D709" s="8"/>
      <c r="E709" s="8"/>
      <c r="F709" s="70"/>
      <c r="G709" s="8"/>
    </row>
    <row r="710">
      <c r="B710" s="8"/>
      <c r="C710" s="8"/>
      <c r="D710" s="8"/>
      <c r="E710" s="8"/>
      <c r="F710" s="70"/>
      <c r="G710" s="8"/>
    </row>
    <row r="711">
      <c r="B711" s="8"/>
      <c r="C711" s="8"/>
      <c r="D711" s="8"/>
      <c r="E711" s="8"/>
      <c r="F711" s="70"/>
      <c r="G711" s="8"/>
    </row>
    <row r="712">
      <c r="B712" s="8"/>
      <c r="C712" s="8"/>
      <c r="D712" s="8"/>
      <c r="E712" s="8"/>
      <c r="F712" s="70"/>
      <c r="G712" s="8"/>
    </row>
    <row r="713">
      <c r="B713" s="8"/>
      <c r="C713" s="8"/>
      <c r="D713" s="8"/>
      <c r="E713" s="8"/>
      <c r="F713" s="70"/>
      <c r="G713" s="8"/>
    </row>
    <row r="714">
      <c r="B714" s="8"/>
      <c r="C714" s="8"/>
      <c r="D714" s="8"/>
      <c r="E714" s="8"/>
      <c r="F714" s="70"/>
      <c r="G714" s="8"/>
    </row>
    <row r="715">
      <c r="B715" s="8"/>
      <c r="C715" s="8"/>
      <c r="D715" s="8"/>
      <c r="E715" s="8"/>
      <c r="F715" s="70"/>
      <c r="G715" s="8"/>
    </row>
    <row r="716">
      <c r="B716" s="8"/>
      <c r="C716" s="8"/>
      <c r="D716" s="8"/>
      <c r="E716" s="8"/>
      <c r="F716" s="70"/>
      <c r="G716" s="8"/>
    </row>
    <row r="717">
      <c r="B717" s="8"/>
      <c r="C717" s="8"/>
      <c r="D717" s="8"/>
      <c r="E717" s="8"/>
      <c r="F717" s="70"/>
      <c r="G717" s="8"/>
    </row>
    <row r="718">
      <c r="B718" s="8"/>
      <c r="C718" s="8"/>
      <c r="D718" s="8"/>
      <c r="E718" s="8"/>
      <c r="F718" s="70"/>
      <c r="G718" s="8"/>
    </row>
    <row r="719">
      <c r="B719" s="8"/>
      <c r="C719" s="8"/>
      <c r="D719" s="8"/>
      <c r="E719" s="8"/>
      <c r="F719" s="70"/>
      <c r="G719" s="8"/>
    </row>
    <row r="720">
      <c r="B720" s="8"/>
      <c r="C720" s="8"/>
      <c r="D720" s="8"/>
      <c r="E720" s="8"/>
      <c r="F720" s="70"/>
      <c r="G720" s="8"/>
    </row>
    <row r="721">
      <c r="B721" s="8"/>
      <c r="C721" s="8"/>
      <c r="D721" s="8"/>
      <c r="E721" s="8"/>
      <c r="F721" s="70"/>
      <c r="G721" s="8"/>
    </row>
    <row r="722">
      <c r="B722" s="8"/>
      <c r="C722" s="8"/>
      <c r="D722" s="8"/>
      <c r="E722" s="8"/>
      <c r="F722" s="70"/>
      <c r="G722" s="8"/>
    </row>
    <row r="723">
      <c r="B723" s="8"/>
      <c r="C723" s="8"/>
      <c r="D723" s="8"/>
      <c r="E723" s="8"/>
      <c r="F723" s="70"/>
      <c r="G723" s="8"/>
    </row>
    <row r="724">
      <c r="B724" s="8"/>
      <c r="C724" s="8"/>
      <c r="D724" s="8"/>
      <c r="E724" s="8"/>
      <c r="F724" s="70"/>
      <c r="G724" s="8"/>
    </row>
    <row r="725">
      <c r="B725" s="8"/>
      <c r="C725" s="8"/>
      <c r="D725" s="8"/>
      <c r="E725" s="8"/>
      <c r="F725" s="70"/>
      <c r="G725" s="8"/>
    </row>
    <row r="726">
      <c r="B726" s="8"/>
      <c r="C726" s="8"/>
      <c r="D726" s="8"/>
      <c r="E726" s="8"/>
      <c r="F726" s="70"/>
      <c r="G726" s="8"/>
    </row>
    <row r="727">
      <c r="B727" s="8"/>
      <c r="C727" s="8"/>
      <c r="D727" s="8"/>
      <c r="E727" s="8"/>
      <c r="F727" s="70"/>
      <c r="G727" s="8"/>
    </row>
    <row r="728">
      <c r="B728" s="8"/>
      <c r="C728" s="8"/>
      <c r="D728" s="8"/>
      <c r="E728" s="8"/>
      <c r="F728" s="70"/>
      <c r="G728" s="8"/>
    </row>
    <row r="729">
      <c r="B729" s="8"/>
      <c r="C729" s="8"/>
      <c r="D729" s="8"/>
      <c r="E729" s="8"/>
      <c r="F729" s="70"/>
      <c r="G729" s="8"/>
    </row>
    <row r="730">
      <c r="B730" s="8"/>
      <c r="C730" s="8"/>
      <c r="D730" s="8"/>
      <c r="E730" s="8"/>
      <c r="F730" s="70"/>
      <c r="G730" s="8"/>
    </row>
    <row r="731">
      <c r="B731" s="8"/>
      <c r="C731" s="8"/>
      <c r="D731" s="8"/>
      <c r="E731" s="8"/>
      <c r="F731" s="70"/>
      <c r="G731" s="8"/>
    </row>
    <row r="732">
      <c r="B732" s="8"/>
      <c r="C732" s="8"/>
      <c r="D732" s="8"/>
      <c r="E732" s="8"/>
      <c r="F732" s="70"/>
      <c r="G732" s="8"/>
    </row>
    <row r="733">
      <c r="B733" s="8"/>
      <c r="C733" s="8"/>
      <c r="D733" s="8"/>
      <c r="E733" s="8"/>
      <c r="F733" s="70"/>
      <c r="G733" s="8"/>
    </row>
    <row r="734">
      <c r="B734" s="8"/>
      <c r="C734" s="8"/>
      <c r="D734" s="8"/>
      <c r="E734" s="8"/>
      <c r="F734" s="70"/>
      <c r="G734" s="8"/>
    </row>
    <row r="735">
      <c r="B735" s="8"/>
      <c r="C735" s="8"/>
      <c r="D735" s="8"/>
      <c r="E735" s="8"/>
      <c r="F735" s="70"/>
      <c r="G735" s="8"/>
    </row>
    <row r="736">
      <c r="B736" s="8"/>
      <c r="C736" s="8"/>
      <c r="D736" s="8"/>
      <c r="E736" s="8"/>
      <c r="F736" s="70"/>
      <c r="G736" s="8"/>
    </row>
    <row r="737">
      <c r="B737" s="8"/>
      <c r="C737" s="8"/>
      <c r="D737" s="8"/>
      <c r="E737" s="8"/>
      <c r="F737" s="70"/>
      <c r="G737" s="8"/>
    </row>
    <row r="738">
      <c r="B738" s="8"/>
      <c r="C738" s="8"/>
      <c r="D738" s="8"/>
      <c r="E738" s="8"/>
      <c r="F738" s="70"/>
      <c r="G738" s="8"/>
    </row>
    <row r="739">
      <c r="B739" s="8"/>
      <c r="C739" s="8"/>
      <c r="D739" s="8"/>
      <c r="E739" s="8"/>
      <c r="F739" s="70"/>
      <c r="G739" s="8"/>
    </row>
    <row r="740">
      <c r="B740" s="8"/>
      <c r="C740" s="8"/>
      <c r="D740" s="8"/>
      <c r="E740" s="8"/>
      <c r="F740" s="70"/>
      <c r="G740" s="8"/>
    </row>
    <row r="741">
      <c r="B741" s="8"/>
      <c r="C741" s="8"/>
      <c r="D741" s="8"/>
      <c r="E741" s="8"/>
      <c r="F741" s="70"/>
      <c r="G741" s="8"/>
    </row>
    <row r="742">
      <c r="B742" s="8"/>
      <c r="C742" s="8"/>
      <c r="D742" s="8"/>
      <c r="E742" s="8"/>
      <c r="F742" s="70"/>
      <c r="G742" s="8"/>
    </row>
    <row r="743">
      <c r="B743" s="8"/>
      <c r="C743" s="8"/>
      <c r="D743" s="8"/>
      <c r="E743" s="8"/>
      <c r="F743" s="70"/>
      <c r="G743" s="8"/>
    </row>
    <row r="744">
      <c r="B744" s="8"/>
      <c r="C744" s="8"/>
      <c r="D744" s="8"/>
      <c r="E744" s="8"/>
      <c r="F744" s="70"/>
      <c r="G744" s="8"/>
    </row>
    <row r="745">
      <c r="B745" s="8"/>
      <c r="C745" s="8"/>
      <c r="D745" s="8"/>
      <c r="E745" s="8"/>
      <c r="F745" s="70"/>
      <c r="G745" s="8"/>
    </row>
    <row r="746">
      <c r="B746" s="8"/>
      <c r="C746" s="8"/>
      <c r="D746" s="8"/>
      <c r="E746" s="8"/>
      <c r="F746" s="70"/>
      <c r="G746" s="8"/>
    </row>
    <row r="747">
      <c r="B747" s="8"/>
      <c r="C747" s="8"/>
      <c r="D747" s="8"/>
      <c r="E747" s="8"/>
      <c r="F747" s="70"/>
      <c r="G747" s="8"/>
    </row>
    <row r="748">
      <c r="B748" s="8"/>
      <c r="C748" s="8"/>
      <c r="D748" s="8"/>
      <c r="E748" s="8"/>
      <c r="F748" s="70"/>
      <c r="G748" s="8"/>
    </row>
    <row r="749">
      <c r="B749" s="8"/>
      <c r="C749" s="8"/>
      <c r="D749" s="8"/>
      <c r="E749" s="8"/>
      <c r="F749" s="70"/>
      <c r="G749" s="8"/>
    </row>
    <row r="750">
      <c r="B750" s="8"/>
      <c r="C750" s="8"/>
      <c r="D750" s="8"/>
      <c r="E750" s="8"/>
      <c r="F750" s="70"/>
      <c r="G750" s="8"/>
    </row>
    <row r="751">
      <c r="B751" s="8"/>
      <c r="C751" s="8"/>
      <c r="D751" s="8"/>
      <c r="E751" s="8"/>
      <c r="F751" s="70"/>
      <c r="G751" s="8"/>
    </row>
    <row r="752">
      <c r="B752" s="8"/>
      <c r="C752" s="8"/>
      <c r="D752" s="8"/>
      <c r="E752" s="8"/>
      <c r="F752" s="70"/>
      <c r="G752" s="8"/>
    </row>
    <row r="753">
      <c r="B753" s="8"/>
      <c r="C753" s="8"/>
      <c r="D753" s="8"/>
      <c r="E753" s="8"/>
      <c r="F753" s="70"/>
      <c r="G753" s="8"/>
    </row>
    <row r="754">
      <c r="B754" s="8"/>
      <c r="C754" s="8"/>
      <c r="D754" s="8"/>
      <c r="E754" s="8"/>
      <c r="F754" s="70"/>
      <c r="G754" s="8"/>
    </row>
    <row r="755">
      <c r="B755" s="8"/>
      <c r="C755" s="8"/>
      <c r="D755" s="8"/>
      <c r="E755" s="8"/>
      <c r="F755" s="70"/>
      <c r="G755" s="8"/>
    </row>
    <row r="756">
      <c r="B756" s="8"/>
      <c r="C756" s="8"/>
      <c r="D756" s="8"/>
      <c r="E756" s="8"/>
      <c r="F756" s="70"/>
      <c r="G756" s="8"/>
    </row>
    <row r="757">
      <c r="B757" s="8"/>
      <c r="C757" s="8"/>
      <c r="D757" s="8"/>
      <c r="E757" s="8"/>
      <c r="F757" s="70"/>
      <c r="G757" s="8"/>
    </row>
    <row r="758">
      <c r="B758" s="8"/>
      <c r="C758" s="8"/>
      <c r="D758" s="8"/>
      <c r="E758" s="8"/>
      <c r="F758" s="70"/>
      <c r="G758" s="8"/>
    </row>
    <row r="759">
      <c r="B759" s="8"/>
      <c r="C759" s="8"/>
      <c r="D759" s="8"/>
      <c r="E759" s="8"/>
      <c r="F759" s="70"/>
      <c r="G759" s="8"/>
    </row>
    <row r="760">
      <c r="B760" s="8"/>
      <c r="C760" s="8"/>
      <c r="D760" s="8"/>
      <c r="E760" s="8"/>
      <c r="F760" s="70"/>
      <c r="G760" s="8"/>
    </row>
    <row r="761">
      <c r="B761" s="8"/>
      <c r="C761" s="8"/>
      <c r="D761" s="8"/>
      <c r="E761" s="8"/>
      <c r="F761" s="70"/>
      <c r="G761" s="8"/>
    </row>
    <row r="762">
      <c r="B762" s="8"/>
      <c r="C762" s="8"/>
      <c r="D762" s="8"/>
      <c r="E762" s="8"/>
      <c r="F762" s="70"/>
      <c r="G762" s="8"/>
    </row>
    <row r="763">
      <c r="B763" s="8"/>
      <c r="C763" s="8"/>
      <c r="D763" s="8"/>
      <c r="E763" s="8"/>
      <c r="F763" s="70"/>
      <c r="G763" s="8"/>
    </row>
    <row r="764">
      <c r="B764" s="8"/>
      <c r="C764" s="8"/>
      <c r="D764" s="8"/>
      <c r="E764" s="8"/>
      <c r="F764" s="70"/>
      <c r="G764" s="8"/>
    </row>
    <row r="765">
      <c r="B765" s="8"/>
      <c r="C765" s="8"/>
      <c r="D765" s="8"/>
      <c r="E765" s="8"/>
      <c r="F765" s="70"/>
      <c r="G765" s="8"/>
    </row>
    <row r="766">
      <c r="B766" s="8"/>
      <c r="C766" s="8"/>
      <c r="D766" s="8"/>
      <c r="E766" s="8"/>
      <c r="F766" s="70"/>
      <c r="G766" s="8"/>
    </row>
    <row r="767">
      <c r="B767" s="8"/>
      <c r="C767" s="8"/>
      <c r="D767" s="8"/>
      <c r="E767" s="8"/>
      <c r="F767" s="70"/>
      <c r="G767" s="8"/>
    </row>
    <row r="768">
      <c r="B768" s="8"/>
      <c r="C768" s="8"/>
      <c r="D768" s="8"/>
      <c r="E768" s="8"/>
      <c r="F768" s="70"/>
      <c r="G768" s="8"/>
    </row>
    <row r="769">
      <c r="B769" s="8"/>
      <c r="C769" s="8"/>
      <c r="D769" s="8"/>
      <c r="E769" s="8"/>
      <c r="F769" s="70"/>
      <c r="G769" s="8"/>
    </row>
    <row r="770">
      <c r="B770" s="8"/>
      <c r="C770" s="8"/>
      <c r="D770" s="8"/>
      <c r="E770" s="8"/>
      <c r="F770" s="70"/>
      <c r="G770" s="8"/>
    </row>
    <row r="771">
      <c r="B771" s="8"/>
      <c r="C771" s="8"/>
      <c r="D771" s="8"/>
      <c r="E771" s="8"/>
      <c r="F771" s="70"/>
      <c r="G771" s="8"/>
    </row>
    <row r="772">
      <c r="B772" s="8"/>
      <c r="C772" s="8"/>
      <c r="D772" s="8"/>
      <c r="E772" s="8"/>
      <c r="F772" s="70"/>
      <c r="G772" s="8"/>
    </row>
    <row r="773">
      <c r="B773" s="8"/>
      <c r="C773" s="8"/>
      <c r="D773" s="8"/>
      <c r="E773" s="8"/>
      <c r="F773" s="70"/>
      <c r="G773" s="8"/>
    </row>
    <row r="774">
      <c r="B774" s="8"/>
      <c r="C774" s="8"/>
      <c r="D774" s="8"/>
      <c r="E774" s="8"/>
      <c r="F774" s="70"/>
      <c r="G774" s="8"/>
    </row>
    <row r="775">
      <c r="B775" s="8"/>
      <c r="C775" s="8"/>
      <c r="D775" s="8"/>
      <c r="E775" s="8"/>
      <c r="F775" s="70"/>
      <c r="G775" s="8"/>
    </row>
    <row r="776">
      <c r="B776" s="8"/>
      <c r="C776" s="8"/>
      <c r="D776" s="8"/>
      <c r="E776" s="8"/>
      <c r="F776" s="70"/>
      <c r="G776" s="8"/>
    </row>
    <row r="777">
      <c r="B777" s="8"/>
      <c r="C777" s="8"/>
      <c r="D777" s="8"/>
      <c r="E777" s="8"/>
      <c r="F777" s="70"/>
      <c r="G777" s="8"/>
    </row>
    <row r="778">
      <c r="B778" s="8"/>
      <c r="C778" s="8"/>
      <c r="D778" s="8"/>
      <c r="E778" s="8"/>
      <c r="F778" s="70"/>
      <c r="G778" s="8"/>
    </row>
    <row r="779">
      <c r="B779" s="8"/>
      <c r="C779" s="8"/>
      <c r="D779" s="8"/>
      <c r="E779" s="8"/>
      <c r="F779" s="70"/>
      <c r="G779" s="8"/>
    </row>
    <row r="780">
      <c r="B780" s="8"/>
      <c r="C780" s="8"/>
      <c r="D780" s="8"/>
      <c r="E780" s="8"/>
      <c r="F780" s="70"/>
      <c r="G780" s="8"/>
    </row>
    <row r="781">
      <c r="B781" s="8"/>
      <c r="C781" s="8"/>
      <c r="D781" s="8"/>
      <c r="E781" s="8"/>
      <c r="F781" s="70"/>
      <c r="G781" s="8"/>
    </row>
    <row r="782">
      <c r="B782" s="8"/>
      <c r="C782" s="8"/>
      <c r="D782" s="8"/>
      <c r="E782" s="8"/>
      <c r="F782" s="70"/>
      <c r="G782" s="8"/>
    </row>
    <row r="783">
      <c r="B783" s="8"/>
      <c r="C783" s="8"/>
      <c r="D783" s="8"/>
      <c r="E783" s="8"/>
      <c r="F783" s="70"/>
      <c r="G783" s="8"/>
    </row>
    <row r="784">
      <c r="B784" s="8"/>
      <c r="C784" s="8"/>
      <c r="D784" s="8"/>
      <c r="E784" s="8"/>
      <c r="F784" s="70"/>
      <c r="G784" s="8"/>
    </row>
    <row r="785">
      <c r="B785" s="8"/>
      <c r="C785" s="8"/>
      <c r="D785" s="8"/>
      <c r="E785" s="8"/>
      <c r="F785" s="70"/>
      <c r="G785" s="8"/>
    </row>
    <row r="786">
      <c r="B786" s="8"/>
      <c r="C786" s="8"/>
      <c r="D786" s="8"/>
      <c r="E786" s="8"/>
      <c r="F786" s="70"/>
      <c r="G786" s="8"/>
    </row>
    <row r="787">
      <c r="B787" s="8"/>
      <c r="C787" s="8"/>
      <c r="D787" s="8"/>
      <c r="E787" s="8"/>
      <c r="F787" s="70"/>
      <c r="G787" s="8"/>
    </row>
    <row r="788">
      <c r="B788" s="8"/>
      <c r="C788" s="8"/>
      <c r="D788" s="8"/>
      <c r="E788" s="8"/>
      <c r="F788" s="70"/>
      <c r="G788" s="8"/>
    </row>
    <row r="789">
      <c r="B789" s="8"/>
      <c r="C789" s="8"/>
      <c r="D789" s="8"/>
      <c r="E789" s="8"/>
      <c r="F789" s="70"/>
      <c r="G789" s="8"/>
    </row>
    <row r="790">
      <c r="B790" s="8"/>
      <c r="C790" s="8"/>
      <c r="D790" s="8"/>
      <c r="E790" s="8"/>
      <c r="F790" s="70"/>
      <c r="G790" s="8"/>
    </row>
    <row r="791">
      <c r="B791" s="8"/>
      <c r="C791" s="8"/>
      <c r="D791" s="8"/>
      <c r="E791" s="8"/>
      <c r="F791" s="70"/>
      <c r="G791" s="8"/>
    </row>
    <row r="792">
      <c r="B792" s="8"/>
      <c r="C792" s="8"/>
      <c r="D792" s="8"/>
      <c r="E792" s="8"/>
      <c r="F792" s="70"/>
      <c r="G792" s="8"/>
    </row>
    <row r="793">
      <c r="B793" s="8"/>
      <c r="C793" s="8"/>
      <c r="D793" s="8"/>
      <c r="E793" s="8"/>
      <c r="F793" s="70"/>
      <c r="G793" s="8"/>
    </row>
    <row r="794">
      <c r="B794" s="8"/>
      <c r="C794" s="8"/>
      <c r="D794" s="8"/>
      <c r="E794" s="8"/>
      <c r="F794" s="70"/>
      <c r="G794" s="8"/>
    </row>
    <row r="795">
      <c r="B795" s="8"/>
      <c r="C795" s="8"/>
      <c r="D795" s="8"/>
      <c r="E795" s="8"/>
      <c r="F795" s="70"/>
      <c r="G795" s="8"/>
    </row>
    <row r="796">
      <c r="B796" s="8"/>
      <c r="C796" s="8"/>
      <c r="D796" s="8"/>
      <c r="E796" s="8"/>
      <c r="F796" s="70"/>
      <c r="G796" s="8"/>
    </row>
    <row r="797">
      <c r="B797" s="8"/>
      <c r="C797" s="8"/>
      <c r="D797" s="8"/>
      <c r="E797" s="8"/>
      <c r="F797" s="70"/>
      <c r="G797" s="8"/>
    </row>
    <row r="798">
      <c r="B798" s="8"/>
      <c r="C798" s="8"/>
      <c r="D798" s="8"/>
      <c r="E798" s="8"/>
      <c r="F798" s="70"/>
      <c r="G798" s="8"/>
    </row>
    <row r="799">
      <c r="B799" s="8"/>
      <c r="C799" s="8"/>
      <c r="D799" s="8"/>
      <c r="E799" s="8"/>
      <c r="F799" s="70"/>
      <c r="G799" s="8"/>
    </row>
    <row r="800">
      <c r="B800" s="8"/>
      <c r="C800" s="8"/>
      <c r="D800" s="8"/>
      <c r="E800" s="8"/>
      <c r="F800" s="70"/>
      <c r="G800" s="8"/>
    </row>
    <row r="801">
      <c r="B801" s="8"/>
      <c r="C801" s="8"/>
      <c r="D801" s="8"/>
      <c r="E801" s="8"/>
      <c r="F801" s="70"/>
      <c r="G801" s="8"/>
    </row>
    <row r="802">
      <c r="B802" s="8"/>
      <c r="C802" s="8"/>
      <c r="D802" s="8"/>
      <c r="E802" s="8"/>
      <c r="F802" s="70"/>
      <c r="G802" s="8"/>
    </row>
    <row r="803">
      <c r="B803" s="8"/>
      <c r="C803" s="8"/>
      <c r="D803" s="8"/>
      <c r="E803" s="8"/>
      <c r="F803" s="70"/>
      <c r="G803" s="8"/>
    </row>
    <row r="804">
      <c r="B804" s="8"/>
      <c r="C804" s="8"/>
      <c r="D804" s="8"/>
      <c r="E804" s="8"/>
      <c r="F804" s="70"/>
      <c r="G804" s="8"/>
    </row>
    <row r="805">
      <c r="B805" s="8"/>
      <c r="C805" s="8"/>
      <c r="D805" s="8"/>
      <c r="E805" s="8"/>
      <c r="F805" s="70"/>
      <c r="G805" s="8"/>
    </row>
    <row r="806">
      <c r="B806" s="8"/>
      <c r="C806" s="8"/>
      <c r="D806" s="8"/>
      <c r="E806" s="8"/>
      <c r="F806" s="70"/>
      <c r="G806" s="8"/>
    </row>
    <row r="807">
      <c r="B807" s="8"/>
      <c r="C807" s="8"/>
      <c r="D807" s="8"/>
      <c r="E807" s="8"/>
      <c r="F807" s="70"/>
      <c r="G807" s="8"/>
    </row>
    <row r="808">
      <c r="B808" s="8"/>
      <c r="C808" s="8"/>
      <c r="D808" s="8"/>
      <c r="E808" s="8"/>
      <c r="F808" s="70"/>
      <c r="G808" s="8"/>
    </row>
    <row r="809">
      <c r="B809" s="8"/>
      <c r="C809" s="8"/>
      <c r="D809" s="8"/>
      <c r="E809" s="8"/>
      <c r="F809" s="70"/>
      <c r="G809" s="8"/>
    </row>
    <row r="810">
      <c r="B810" s="8"/>
      <c r="C810" s="8"/>
      <c r="D810" s="8"/>
      <c r="E810" s="8"/>
      <c r="F810" s="70"/>
      <c r="G810" s="8"/>
    </row>
    <row r="811">
      <c r="B811" s="8"/>
      <c r="C811" s="8"/>
      <c r="D811" s="8"/>
      <c r="E811" s="8"/>
      <c r="F811" s="70"/>
      <c r="G811" s="8"/>
    </row>
    <row r="812">
      <c r="B812" s="8"/>
      <c r="C812" s="8"/>
      <c r="D812" s="8"/>
      <c r="E812" s="8"/>
      <c r="F812" s="70"/>
      <c r="G812" s="8"/>
    </row>
    <row r="813">
      <c r="B813" s="8"/>
      <c r="C813" s="8"/>
      <c r="D813" s="8"/>
      <c r="E813" s="8"/>
      <c r="F813" s="70"/>
      <c r="G813" s="8"/>
    </row>
    <row r="814">
      <c r="B814" s="8"/>
      <c r="C814" s="8"/>
      <c r="D814" s="8"/>
      <c r="E814" s="8"/>
      <c r="F814" s="70"/>
      <c r="G814" s="8"/>
    </row>
    <row r="815">
      <c r="B815" s="8"/>
      <c r="C815" s="8"/>
      <c r="D815" s="8"/>
      <c r="E815" s="8"/>
      <c r="F815" s="70"/>
      <c r="G815" s="8"/>
    </row>
    <row r="816">
      <c r="B816" s="8"/>
      <c r="C816" s="8"/>
      <c r="D816" s="8"/>
      <c r="E816" s="8"/>
      <c r="F816" s="70"/>
      <c r="G816" s="8"/>
    </row>
    <row r="817">
      <c r="B817" s="8"/>
      <c r="C817" s="8"/>
      <c r="D817" s="8"/>
      <c r="E817" s="8"/>
      <c r="F817" s="70"/>
      <c r="G817" s="8"/>
    </row>
    <row r="818">
      <c r="B818" s="8"/>
      <c r="C818" s="8"/>
      <c r="D818" s="8"/>
      <c r="E818" s="8"/>
      <c r="F818" s="70"/>
      <c r="G818" s="8"/>
    </row>
    <row r="819">
      <c r="B819" s="8"/>
      <c r="C819" s="8"/>
      <c r="D819" s="8"/>
      <c r="E819" s="8"/>
      <c r="F819" s="70"/>
      <c r="G819" s="8"/>
    </row>
    <row r="820">
      <c r="B820" s="8"/>
      <c r="C820" s="8"/>
      <c r="D820" s="8"/>
      <c r="E820" s="8"/>
      <c r="F820" s="70"/>
      <c r="G820" s="8"/>
    </row>
    <row r="821">
      <c r="B821" s="8"/>
      <c r="C821" s="8"/>
      <c r="D821" s="8"/>
      <c r="E821" s="8"/>
      <c r="F821" s="70"/>
      <c r="G821" s="8"/>
    </row>
    <row r="822">
      <c r="B822" s="8"/>
      <c r="C822" s="8"/>
      <c r="D822" s="8"/>
      <c r="E822" s="8"/>
      <c r="F822" s="70"/>
      <c r="G822" s="8"/>
    </row>
    <row r="823">
      <c r="B823" s="8"/>
      <c r="C823" s="8"/>
      <c r="D823" s="8"/>
      <c r="E823" s="8"/>
      <c r="F823" s="70"/>
      <c r="G823" s="8"/>
    </row>
    <row r="824">
      <c r="B824" s="8"/>
      <c r="C824" s="8"/>
      <c r="D824" s="8"/>
      <c r="E824" s="8"/>
      <c r="F824" s="70"/>
      <c r="G824" s="8"/>
    </row>
    <row r="825">
      <c r="B825" s="8"/>
      <c r="C825" s="8"/>
      <c r="D825" s="8"/>
      <c r="E825" s="8"/>
      <c r="F825" s="70"/>
      <c r="G825" s="8"/>
    </row>
    <row r="826">
      <c r="B826" s="8"/>
      <c r="C826" s="8"/>
      <c r="D826" s="8"/>
      <c r="E826" s="8"/>
      <c r="F826" s="70"/>
      <c r="G826" s="8"/>
    </row>
    <row r="827">
      <c r="B827" s="8"/>
      <c r="C827" s="8"/>
      <c r="D827" s="8"/>
      <c r="E827" s="8"/>
      <c r="F827" s="70"/>
      <c r="G827" s="8"/>
    </row>
    <row r="828">
      <c r="B828" s="8"/>
      <c r="C828" s="8"/>
      <c r="D828" s="8"/>
      <c r="E828" s="8"/>
      <c r="F828" s="70"/>
      <c r="G828" s="8"/>
    </row>
    <row r="829">
      <c r="B829" s="8"/>
      <c r="C829" s="8"/>
      <c r="D829" s="8"/>
      <c r="E829" s="8"/>
      <c r="F829" s="70"/>
      <c r="G829" s="8"/>
    </row>
    <row r="830">
      <c r="B830" s="8"/>
      <c r="C830" s="8"/>
      <c r="D830" s="8"/>
      <c r="E830" s="8"/>
      <c r="F830" s="70"/>
      <c r="G830" s="8"/>
    </row>
    <row r="831">
      <c r="B831" s="8"/>
      <c r="C831" s="8"/>
      <c r="D831" s="8"/>
      <c r="E831" s="8"/>
      <c r="F831" s="70"/>
      <c r="G831" s="8"/>
    </row>
    <row r="832">
      <c r="B832" s="8"/>
      <c r="C832" s="8"/>
      <c r="D832" s="8"/>
      <c r="E832" s="8"/>
      <c r="F832" s="70"/>
      <c r="G832" s="8"/>
    </row>
    <row r="833">
      <c r="B833" s="8"/>
      <c r="C833" s="8"/>
      <c r="D833" s="8"/>
      <c r="E833" s="8"/>
      <c r="F833" s="70"/>
      <c r="G833" s="8"/>
    </row>
    <row r="834">
      <c r="B834" s="8"/>
      <c r="C834" s="8"/>
      <c r="D834" s="8"/>
      <c r="E834" s="8"/>
      <c r="F834" s="70"/>
      <c r="G834" s="8"/>
    </row>
    <row r="835">
      <c r="B835" s="8"/>
      <c r="C835" s="8"/>
      <c r="D835" s="8"/>
      <c r="E835" s="8"/>
      <c r="F835" s="70"/>
      <c r="G835" s="8"/>
    </row>
    <row r="836">
      <c r="B836" s="8"/>
      <c r="C836" s="8"/>
      <c r="D836" s="8"/>
      <c r="E836" s="8"/>
      <c r="F836" s="70"/>
      <c r="G836" s="8"/>
    </row>
    <row r="837">
      <c r="B837" s="8"/>
      <c r="C837" s="8"/>
      <c r="D837" s="8"/>
      <c r="E837" s="8"/>
      <c r="F837" s="70"/>
      <c r="G837" s="8"/>
    </row>
    <row r="838">
      <c r="B838" s="8"/>
      <c r="C838" s="8"/>
      <c r="D838" s="8"/>
      <c r="E838" s="8"/>
      <c r="F838" s="70"/>
      <c r="G838" s="8"/>
    </row>
    <row r="839">
      <c r="B839" s="8"/>
      <c r="C839" s="8"/>
      <c r="D839" s="8"/>
      <c r="E839" s="8"/>
      <c r="F839" s="70"/>
      <c r="G839" s="8"/>
    </row>
    <row r="840">
      <c r="B840" s="8"/>
      <c r="C840" s="8"/>
      <c r="D840" s="8"/>
      <c r="E840" s="8"/>
      <c r="F840" s="70"/>
      <c r="G840" s="8"/>
    </row>
    <row r="841">
      <c r="B841" s="8"/>
      <c r="C841" s="8"/>
      <c r="D841" s="8"/>
      <c r="E841" s="8"/>
      <c r="F841" s="70"/>
      <c r="G841" s="8"/>
    </row>
    <row r="842">
      <c r="B842" s="8"/>
      <c r="C842" s="8"/>
      <c r="D842" s="8"/>
      <c r="E842" s="8"/>
      <c r="F842" s="70"/>
      <c r="G842" s="8"/>
    </row>
    <row r="843">
      <c r="B843" s="8"/>
      <c r="C843" s="8"/>
      <c r="D843" s="8"/>
      <c r="E843" s="8"/>
      <c r="F843" s="70"/>
      <c r="G843" s="8"/>
    </row>
    <row r="844">
      <c r="B844" s="8"/>
      <c r="C844" s="8"/>
      <c r="D844" s="8"/>
      <c r="E844" s="8"/>
      <c r="F844" s="70"/>
      <c r="G844" s="8"/>
    </row>
    <row r="845">
      <c r="B845" s="8"/>
      <c r="C845" s="8"/>
      <c r="D845" s="8"/>
      <c r="E845" s="8"/>
      <c r="F845" s="70"/>
      <c r="G845" s="8"/>
    </row>
    <row r="846">
      <c r="B846" s="8"/>
      <c r="C846" s="8"/>
      <c r="D846" s="8"/>
      <c r="E846" s="8"/>
      <c r="F846" s="70"/>
      <c r="G846" s="8"/>
    </row>
    <row r="847">
      <c r="B847" s="8"/>
      <c r="C847" s="8"/>
      <c r="D847" s="8"/>
      <c r="E847" s="8"/>
      <c r="F847" s="70"/>
      <c r="G847" s="8"/>
    </row>
    <row r="848">
      <c r="B848" s="8"/>
      <c r="C848" s="8"/>
      <c r="D848" s="8"/>
      <c r="E848" s="8"/>
      <c r="F848" s="70"/>
      <c r="G848" s="8"/>
    </row>
    <row r="849">
      <c r="B849" s="8"/>
      <c r="C849" s="8"/>
      <c r="D849" s="8"/>
      <c r="E849" s="8"/>
      <c r="F849" s="70"/>
      <c r="G849" s="8"/>
    </row>
    <row r="850">
      <c r="B850" s="8"/>
      <c r="C850" s="8"/>
      <c r="D850" s="8"/>
      <c r="E850" s="8"/>
      <c r="F850" s="70"/>
      <c r="G850" s="8"/>
    </row>
    <row r="851">
      <c r="B851" s="8"/>
      <c r="C851" s="8"/>
      <c r="D851" s="8"/>
      <c r="E851" s="8"/>
      <c r="F851" s="70"/>
      <c r="G851" s="8"/>
    </row>
    <row r="852">
      <c r="B852" s="8"/>
      <c r="C852" s="8"/>
      <c r="D852" s="8"/>
      <c r="E852" s="8"/>
      <c r="F852" s="70"/>
      <c r="G852" s="8"/>
    </row>
    <row r="853">
      <c r="B853" s="8"/>
      <c r="C853" s="8"/>
      <c r="D853" s="8"/>
      <c r="E853" s="8"/>
      <c r="F853" s="70"/>
      <c r="G853" s="8"/>
    </row>
    <row r="854">
      <c r="B854" s="8"/>
      <c r="C854" s="8"/>
      <c r="D854" s="8"/>
      <c r="E854" s="8"/>
      <c r="F854" s="70"/>
      <c r="G854" s="8"/>
    </row>
    <row r="855">
      <c r="B855" s="8"/>
      <c r="C855" s="8"/>
      <c r="D855" s="8"/>
      <c r="E855" s="8"/>
      <c r="F855" s="70"/>
      <c r="G855" s="8"/>
    </row>
    <row r="856">
      <c r="B856" s="8"/>
      <c r="C856" s="8"/>
      <c r="D856" s="8"/>
      <c r="E856" s="8"/>
      <c r="F856" s="70"/>
      <c r="G856" s="8"/>
    </row>
    <row r="857">
      <c r="B857" s="8"/>
      <c r="C857" s="8"/>
      <c r="D857" s="8"/>
      <c r="E857" s="8"/>
      <c r="F857" s="70"/>
      <c r="G857" s="8"/>
    </row>
    <row r="858">
      <c r="B858" s="8"/>
      <c r="C858" s="8"/>
      <c r="D858" s="8"/>
      <c r="E858" s="8"/>
      <c r="F858" s="70"/>
      <c r="G858" s="8"/>
    </row>
    <row r="859">
      <c r="B859" s="8"/>
      <c r="C859" s="8"/>
      <c r="D859" s="8"/>
      <c r="E859" s="8"/>
      <c r="F859" s="70"/>
      <c r="G859" s="8"/>
    </row>
    <row r="860">
      <c r="B860" s="8"/>
      <c r="C860" s="8"/>
      <c r="D860" s="8"/>
      <c r="E860" s="8"/>
      <c r="F860" s="70"/>
      <c r="G860" s="8"/>
    </row>
    <row r="861">
      <c r="B861" s="8"/>
      <c r="C861" s="8"/>
      <c r="D861" s="8"/>
      <c r="E861" s="8"/>
      <c r="F861" s="70"/>
      <c r="G861" s="8"/>
    </row>
    <row r="862">
      <c r="B862" s="8"/>
      <c r="C862" s="8"/>
      <c r="D862" s="8"/>
      <c r="E862" s="8"/>
      <c r="F862" s="70"/>
      <c r="G862" s="8"/>
    </row>
    <row r="863">
      <c r="B863" s="8"/>
      <c r="C863" s="8"/>
      <c r="D863" s="8"/>
      <c r="E863" s="8"/>
      <c r="F863" s="70"/>
      <c r="G863" s="8"/>
    </row>
    <row r="864">
      <c r="B864" s="8"/>
      <c r="C864" s="8"/>
      <c r="D864" s="8"/>
      <c r="E864" s="8"/>
      <c r="F864" s="70"/>
      <c r="G864" s="8"/>
    </row>
    <row r="865">
      <c r="B865" s="8"/>
      <c r="C865" s="8"/>
      <c r="D865" s="8"/>
      <c r="E865" s="8"/>
      <c r="F865" s="70"/>
      <c r="G865" s="8"/>
    </row>
    <row r="866">
      <c r="B866" s="8"/>
      <c r="C866" s="8"/>
      <c r="D866" s="8"/>
      <c r="E866" s="8"/>
      <c r="F866" s="70"/>
      <c r="G866" s="8"/>
    </row>
    <row r="867">
      <c r="B867" s="8"/>
      <c r="C867" s="8"/>
      <c r="D867" s="8"/>
      <c r="E867" s="8"/>
      <c r="F867" s="70"/>
      <c r="G867" s="8"/>
    </row>
    <row r="868">
      <c r="B868" s="8"/>
      <c r="C868" s="8"/>
      <c r="D868" s="8"/>
      <c r="E868" s="8"/>
      <c r="F868" s="70"/>
      <c r="G868" s="8"/>
    </row>
    <row r="869">
      <c r="B869" s="8"/>
      <c r="C869" s="8"/>
      <c r="D869" s="8"/>
      <c r="E869" s="8"/>
      <c r="F869" s="70"/>
      <c r="G869" s="8"/>
    </row>
    <row r="870">
      <c r="B870" s="8"/>
      <c r="C870" s="8"/>
      <c r="D870" s="8"/>
      <c r="E870" s="8"/>
      <c r="F870" s="70"/>
      <c r="G870" s="8"/>
    </row>
    <row r="871">
      <c r="B871" s="8"/>
      <c r="C871" s="8"/>
      <c r="D871" s="8"/>
      <c r="E871" s="8"/>
      <c r="F871" s="70"/>
      <c r="G871" s="8"/>
    </row>
    <row r="872">
      <c r="B872" s="8"/>
      <c r="C872" s="8"/>
      <c r="D872" s="8"/>
      <c r="E872" s="8"/>
      <c r="F872" s="70"/>
      <c r="G872" s="8"/>
    </row>
    <row r="873">
      <c r="B873" s="8"/>
      <c r="C873" s="8"/>
      <c r="D873" s="8"/>
      <c r="E873" s="8"/>
      <c r="F873" s="70"/>
      <c r="G873" s="8"/>
    </row>
    <row r="874">
      <c r="B874" s="8"/>
      <c r="C874" s="8"/>
      <c r="D874" s="8"/>
      <c r="E874" s="8"/>
      <c r="F874" s="70"/>
      <c r="G874" s="8"/>
    </row>
    <row r="875">
      <c r="B875" s="8"/>
      <c r="C875" s="8"/>
      <c r="D875" s="8"/>
      <c r="E875" s="8"/>
      <c r="F875" s="70"/>
      <c r="G875" s="8"/>
    </row>
    <row r="876">
      <c r="B876" s="8"/>
      <c r="C876" s="8"/>
      <c r="D876" s="8"/>
      <c r="E876" s="8"/>
      <c r="F876" s="70"/>
      <c r="G876" s="8"/>
    </row>
    <row r="877">
      <c r="B877" s="8"/>
      <c r="C877" s="8"/>
      <c r="D877" s="8"/>
      <c r="E877" s="8"/>
      <c r="F877" s="70"/>
      <c r="G877" s="8"/>
    </row>
    <row r="878">
      <c r="B878" s="8"/>
      <c r="C878" s="8"/>
      <c r="D878" s="8"/>
      <c r="E878" s="8"/>
      <c r="F878" s="70"/>
      <c r="G878" s="8"/>
    </row>
    <row r="879">
      <c r="B879" s="8"/>
      <c r="C879" s="8"/>
      <c r="D879" s="8"/>
      <c r="E879" s="8"/>
      <c r="F879" s="70"/>
      <c r="G879" s="8"/>
    </row>
    <row r="880">
      <c r="B880" s="8"/>
      <c r="C880" s="8"/>
      <c r="D880" s="8"/>
      <c r="E880" s="8"/>
      <c r="F880" s="70"/>
      <c r="G880" s="8"/>
    </row>
    <row r="881">
      <c r="B881" s="8"/>
      <c r="C881" s="8"/>
      <c r="D881" s="8"/>
      <c r="E881" s="8"/>
      <c r="F881" s="70"/>
      <c r="G881" s="8"/>
    </row>
    <row r="882">
      <c r="B882" s="8"/>
      <c r="C882" s="8"/>
      <c r="D882" s="8"/>
      <c r="E882" s="8"/>
      <c r="F882" s="70"/>
      <c r="G882" s="8"/>
    </row>
    <row r="883">
      <c r="B883" s="8"/>
      <c r="C883" s="8"/>
      <c r="D883" s="8"/>
      <c r="E883" s="8"/>
      <c r="F883" s="70"/>
      <c r="G883" s="8"/>
    </row>
    <row r="884">
      <c r="B884" s="8"/>
      <c r="C884" s="8"/>
      <c r="D884" s="8"/>
      <c r="E884" s="8"/>
      <c r="F884" s="70"/>
      <c r="G884" s="8"/>
    </row>
    <row r="885">
      <c r="B885" s="8"/>
      <c r="C885" s="8"/>
      <c r="D885" s="8"/>
      <c r="E885" s="8"/>
      <c r="F885" s="70"/>
      <c r="G885" s="8"/>
    </row>
    <row r="886">
      <c r="B886" s="8"/>
      <c r="C886" s="8"/>
      <c r="D886" s="8"/>
      <c r="E886" s="8"/>
      <c r="F886" s="70"/>
      <c r="G886" s="8"/>
    </row>
    <row r="887">
      <c r="B887" s="8"/>
      <c r="C887" s="8"/>
      <c r="D887" s="8"/>
      <c r="E887" s="8"/>
      <c r="F887" s="70"/>
      <c r="G887" s="8"/>
    </row>
    <row r="888">
      <c r="B888" s="8"/>
      <c r="C888" s="8"/>
      <c r="D888" s="8"/>
      <c r="E888" s="8"/>
      <c r="F888" s="70"/>
      <c r="G888" s="8"/>
    </row>
    <row r="889">
      <c r="B889" s="8"/>
      <c r="C889" s="8"/>
      <c r="D889" s="8"/>
      <c r="E889" s="8"/>
      <c r="F889" s="70"/>
      <c r="G889" s="8"/>
    </row>
    <row r="890">
      <c r="B890" s="8"/>
      <c r="C890" s="8"/>
      <c r="D890" s="8"/>
      <c r="E890" s="8"/>
      <c r="F890" s="70"/>
      <c r="G890" s="8"/>
    </row>
    <row r="891">
      <c r="B891" s="8"/>
      <c r="C891" s="8"/>
      <c r="D891" s="8"/>
      <c r="E891" s="8"/>
      <c r="F891" s="70"/>
      <c r="G891" s="8"/>
    </row>
    <row r="892">
      <c r="B892" s="8"/>
      <c r="C892" s="8"/>
      <c r="D892" s="8"/>
      <c r="E892" s="8"/>
      <c r="F892" s="70"/>
      <c r="G892" s="8"/>
    </row>
    <row r="893">
      <c r="B893" s="8"/>
      <c r="C893" s="8"/>
      <c r="D893" s="8"/>
      <c r="E893" s="8"/>
      <c r="F893" s="70"/>
      <c r="G893" s="8"/>
    </row>
    <row r="894">
      <c r="B894" s="8"/>
      <c r="C894" s="8"/>
      <c r="D894" s="8"/>
      <c r="E894" s="8"/>
      <c r="F894" s="70"/>
      <c r="G894" s="8"/>
    </row>
    <row r="895">
      <c r="B895" s="8"/>
      <c r="C895" s="8"/>
      <c r="D895" s="8"/>
      <c r="E895" s="8"/>
      <c r="F895" s="70"/>
      <c r="G895" s="8"/>
    </row>
    <row r="896">
      <c r="B896" s="8"/>
      <c r="C896" s="8"/>
      <c r="D896" s="8"/>
      <c r="E896" s="8"/>
      <c r="F896" s="70"/>
      <c r="G896" s="8"/>
    </row>
    <row r="897">
      <c r="B897" s="8"/>
      <c r="C897" s="8"/>
      <c r="D897" s="8"/>
      <c r="E897" s="8"/>
      <c r="F897" s="70"/>
      <c r="G897" s="8"/>
    </row>
    <row r="898">
      <c r="B898" s="8"/>
      <c r="C898" s="8"/>
      <c r="D898" s="8"/>
      <c r="E898" s="8"/>
      <c r="F898" s="70"/>
      <c r="G898" s="8"/>
    </row>
    <row r="899">
      <c r="B899" s="8"/>
      <c r="C899" s="8"/>
      <c r="D899" s="8"/>
      <c r="E899" s="8"/>
      <c r="F899" s="70"/>
      <c r="G899" s="8"/>
    </row>
    <row r="900">
      <c r="B900" s="8"/>
      <c r="C900" s="8"/>
      <c r="D900" s="8"/>
      <c r="E900" s="8"/>
      <c r="F900" s="70"/>
      <c r="G900" s="8"/>
    </row>
    <row r="901">
      <c r="B901" s="8"/>
      <c r="C901" s="8"/>
      <c r="D901" s="8"/>
      <c r="E901" s="8"/>
      <c r="F901" s="70"/>
      <c r="G901" s="8"/>
    </row>
    <row r="902">
      <c r="B902" s="8"/>
      <c r="C902" s="8"/>
      <c r="D902" s="8"/>
      <c r="E902" s="8"/>
      <c r="F902" s="70"/>
      <c r="G902" s="8"/>
    </row>
    <row r="903">
      <c r="B903" s="8"/>
      <c r="C903" s="8"/>
      <c r="D903" s="8"/>
      <c r="E903" s="8"/>
      <c r="F903" s="70"/>
      <c r="G903" s="8"/>
    </row>
    <row r="904">
      <c r="B904" s="8"/>
      <c r="C904" s="8"/>
      <c r="D904" s="8"/>
      <c r="E904" s="8"/>
      <c r="F904" s="70"/>
      <c r="G904" s="8"/>
    </row>
    <row r="905">
      <c r="B905" s="8"/>
      <c r="C905" s="8"/>
      <c r="D905" s="8"/>
      <c r="E905" s="8"/>
      <c r="F905" s="70"/>
      <c r="G905" s="8"/>
    </row>
    <row r="906">
      <c r="B906" s="8"/>
      <c r="C906" s="8"/>
      <c r="D906" s="8"/>
      <c r="E906" s="8"/>
      <c r="F906" s="70"/>
      <c r="G906" s="8"/>
    </row>
    <row r="907">
      <c r="B907" s="8"/>
      <c r="C907" s="8"/>
      <c r="D907" s="8"/>
      <c r="E907" s="8"/>
      <c r="F907" s="70"/>
      <c r="G907" s="8"/>
    </row>
    <row r="908">
      <c r="B908" s="8"/>
      <c r="C908" s="8"/>
      <c r="D908" s="8"/>
      <c r="E908" s="8"/>
      <c r="F908" s="70"/>
      <c r="G908" s="8"/>
    </row>
    <row r="909">
      <c r="B909" s="8"/>
      <c r="C909" s="8"/>
      <c r="D909" s="8"/>
      <c r="E909" s="8"/>
      <c r="F909" s="70"/>
      <c r="G909" s="8"/>
    </row>
    <row r="910">
      <c r="B910" s="8"/>
      <c r="C910" s="8"/>
      <c r="D910" s="8"/>
      <c r="E910" s="8"/>
      <c r="F910" s="70"/>
      <c r="G910" s="8"/>
    </row>
    <row r="911">
      <c r="B911" s="8"/>
      <c r="C911" s="8"/>
      <c r="D911" s="8"/>
      <c r="E911" s="8"/>
      <c r="F911" s="70"/>
      <c r="G911" s="8"/>
    </row>
    <row r="912">
      <c r="B912" s="8"/>
      <c r="C912" s="8"/>
      <c r="D912" s="8"/>
      <c r="E912" s="8"/>
      <c r="F912" s="70"/>
      <c r="G912" s="8"/>
    </row>
    <row r="913">
      <c r="B913" s="8"/>
      <c r="C913" s="8"/>
      <c r="D913" s="8"/>
      <c r="E913" s="8"/>
      <c r="F913" s="70"/>
      <c r="G913" s="8"/>
    </row>
    <row r="914">
      <c r="B914" s="8"/>
      <c r="C914" s="8"/>
      <c r="D914" s="8"/>
      <c r="E914" s="8"/>
      <c r="F914" s="70"/>
      <c r="G914" s="8"/>
    </row>
    <row r="915">
      <c r="B915" s="8"/>
      <c r="C915" s="8"/>
      <c r="D915" s="8"/>
      <c r="E915" s="8"/>
      <c r="F915" s="70"/>
      <c r="G915" s="8"/>
    </row>
    <row r="916">
      <c r="B916" s="8"/>
      <c r="C916" s="8"/>
      <c r="D916" s="8"/>
      <c r="E916" s="8"/>
      <c r="F916" s="70"/>
      <c r="G916" s="8"/>
    </row>
    <row r="917">
      <c r="B917" s="8"/>
      <c r="C917" s="8"/>
      <c r="D917" s="8"/>
      <c r="E917" s="8"/>
      <c r="F917" s="70"/>
      <c r="G917" s="8"/>
    </row>
    <row r="918">
      <c r="B918" s="8"/>
      <c r="C918" s="8"/>
      <c r="D918" s="8"/>
      <c r="E918" s="8"/>
      <c r="F918" s="70"/>
      <c r="G918" s="8"/>
    </row>
    <row r="919">
      <c r="B919" s="8"/>
      <c r="C919" s="8"/>
      <c r="D919" s="8"/>
      <c r="E919" s="8"/>
      <c r="F919" s="70"/>
      <c r="G919" s="8"/>
    </row>
    <row r="920">
      <c r="B920" s="8"/>
      <c r="C920" s="8"/>
      <c r="D920" s="8"/>
      <c r="E920" s="8"/>
      <c r="F920" s="70"/>
      <c r="G920" s="8"/>
    </row>
    <row r="921">
      <c r="B921" s="8"/>
      <c r="C921" s="8"/>
      <c r="D921" s="8"/>
      <c r="E921" s="8"/>
      <c r="F921" s="70"/>
      <c r="G921" s="8"/>
    </row>
    <row r="922">
      <c r="B922" s="8"/>
      <c r="C922" s="8"/>
      <c r="D922" s="8"/>
      <c r="E922" s="8"/>
      <c r="F922" s="70"/>
      <c r="G922" s="8"/>
    </row>
    <row r="923">
      <c r="B923" s="8"/>
      <c r="C923" s="8"/>
      <c r="D923" s="8"/>
      <c r="E923" s="8"/>
      <c r="F923" s="70"/>
      <c r="G923" s="8"/>
    </row>
    <row r="924">
      <c r="B924" s="8"/>
      <c r="C924" s="8"/>
      <c r="D924" s="8"/>
      <c r="E924" s="8"/>
      <c r="F924" s="70"/>
      <c r="G924" s="8"/>
    </row>
    <row r="925">
      <c r="B925" s="8"/>
      <c r="C925" s="8"/>
      <c r="D925" s="8"/>
      <c r="E925" s="8"/>
      <c r="F925" s="70"/>
      <c r="G925" s="8"/>
    </row>
    <row r="926">
      <c r="B926" s="8"/>
      <c r="C926" s="8"/>
      <c r="D926" s="8"/>
      <c r="E926" s="8"/>
      <c r="F926" s="70"/>
      <c r="G926" s="8"/>
    </row>
    <row r="927">
      <c r="B927" s="8"/>
      <c r="C927" s="8"/>
      <c r="D927" s="8"/>
      <c r="E927" s="8"/>
      <c r="F927" s="70"/>
      <c r="G927" s="8"/>
    </row>
    <row r="928">
      <c r="B928" s="8"/>
      <c r="C928" s="8"/>
      <c r="D928" s="8"/>
      <c r="E928" s="8"/>
      <c r="F928" s="70"/>
      <c r="G928" s="8"/>
    </row>
    <row r="929">
      <c r="B929" s="8"/>
      <c r="C929" s="8"/>
      <c r="D929" s="8"/>
      <c r="E929" s="8"/>
      <c r="F929" s="70"/>
      <c r="G929" s="8"/>
    </row>
    <row r="930">
      <c r="B930" s="8"/>
      <c r="C930" s="8"/>
      <c r="D930" s="8"/>
      <c r="E930" s="8"/>
      <c r="F930" s="70"/>
      <c r="G930" s="8"/>
    </row>
    <row r="931">
      <c r="B931" s="8"/>
      <c r="C931" s="8"/>
      <c r="D931" s="8"/>
      <c r="E931" s="8"/>
      <c r="F931" s="70"/>
      <c r="G931" s="8"/>
    </row>
    <row r="932">
      <c r="B932" s="8"/>
      <c r="C932" s="8"/>
      <c r="D932" s="8"/>
      <c r="E932" s="8"/>
      <c r="F932" s="70"/>
      <c r="G932" s="8"/>
    </row>
    <row r="933">
      <c r="B933" s="8"/>
      <c r="C933" s="8"/>
      <c r="D933" s="8"/>
      <c r="E933" s="8"/>
      <c r="F933" s="70"/>
      <c r="G933" s="8"/>
    </row>
    <row r="934">
      <c r="B934" s="8"/>
      <c r="C934" s="8"/>
      <c r="D934" s="8"/>
      <c r="E934" s="8"/>
      <c r="F934" s="70"/>
      <c r="G934" s="8"/>
    </row>
    <row r="935">
      <c r="B935" s="8"/>
      <c r="C935" s="8"/>
      <c r="D935" s="8"/>
      <c r="E935" s="8"/>
      <c r="F935" s="70"/>
      <c r="G935" s="8"/>
    </row>
    <row r="936">
      <c r="B936" s="8"/>
      <c r="C936" s="8"/>
      <c r="D936" s="8"/>
      <c r="E936" s="8"/>
      <c r="F936" s="70"/>
      <c r="G936" s="8"/>
    </row>
    <row r="937">
      <c r="B937" s="8"/>
      <c r="C937" s="8"/>
      <c r="D937" s="8"/>
      <c r="E937" s="8"/>
      <c r="F937" s="70"/>
      <c r="G937" s="8"/>
    </row>
    <row r="938">
      <c r="B938" s="8"/>
      <c r="C938" s="8"/>
      <c r="D938" s="8"/>
      <c r="E938" s="8"/>
      <c r="F938" s="70"/>
      <c r="G938" s="8"/>
    </row>
    <row r="939">
      <c r="B939" s="8"/>
      <c r="C939" s="8"/>
      <c r="D939" s="8"/>
      <c r="E939" s="8"/>
      <c r="F939" s="70"/>
      <c r="G939" s="8"/>
    </row>
    <row r="940">
      <c r="B940" s="8"/>
      <c r="C940" s="8"/>
      <c r="D940" s="8"/>
      <c r="E940" s="8"/>
      <c r="F940" s="70"/>
      <c r="G940" s="8"/>
    </row>
    <row r="941">
      <c r="B941" s="8"/>
      <c r="C941" s="8"/>
      <c r="D941" s="8"/>
      <c r="E941" s="8"/>
      <c r="F941" s="70"/>
      <c r="G941" s="8"/>
    </row>
    <row r="942">
      <c r="B942" s="8"/>
      <c r="C942" s="8"/>
      <c r="D942" s="8"/>
      <c r="E942" s="8"/>
      <c r="F942" s="70"/>
      <c r="G942" s="8"/>
    </row>
    <row r="943">
      <c r="B943" s="8"/>
      <c r="C943" s="8"/>
      <c r="D943" s="8"/>
      <c r="E943" s="8"/>
      <c r="F943" s="70"/>
      <c r="G943" s="8"/>
    </row>
    <row r="944">
      <c r="B944" s="8"/>
      <c r="C944" s="8"/>
      <c r="D944" s="8"/>
      <c r="E944" s="8"/>
      <c r="F944" s="70"/>
      <c r="G944" s="8"/>
    </row>
    <row r="945">
      <c r="B945" s="8"/>
      <c r="C945" s="8"/>
      <c r="D945" s="8"/>
      <c r="E945" s="8"/>
      <c r="F945" s="70"/>
      <c r="G945" s="8"/>
    </row>
    <row r="946">
      <c r="B946" s="8"/>
      <c r="C946" s="8"/>
      <c r="D946" s="8"/>
      <c r="E946" s="8"/>
      <c r="F946" s="70"/>
      <c r="G946" s="8"/>
    </row>
    <row r="947">
      <c r="B947" s="8"/>
      <c r="C947" s="8"/>
      <c r="D947" s="8"/>
      <c r="E947" s="8"/>
      <c r="F947" s="70"/>
      <c r="G947" s="8"/>
    </row>
    <row r="948">
      <c r="B948" s="8"/>
      <c r="C948" s="8"/>
      <c r="D948" s="8"/>
      <c r="E948" s="8"/>
      <c r="F948" s="70"/>
      <c r="G948" s="8"/>
    </row>
    <row r="949">
      <c r="B949" s="8"/>
      <c r="C949" s="8"/>
      <c r="D949" s="8"/>
      <c r="E949" s="8"/>
      <c r="F949" s="70"/>
      <c r="G949" s="8"/>
    </row>
    <row r="950">
      <c r="B950" s="8"/>
      <c r="C950" s="8"/>
      <c r="D950" s="8"/>
      <c r="E950" s="8"/>
      <c r="F950" s="70"/>
      <c r="G950" s="8"/>
    </row>
    <row r="951">
      <c r="B951" s="8"/>
      <c r="C951" s="8"/>
      <c r="D951" s="8"/>
      <c r="E951" s="8"/>
      <c r="F951" s="70"/>
      <c r="G951" s="8"/>
    </row>
    <row r="952">
      <c r="B952" s="8"/>
      <c r="C952" s="8"/>
      <c r="D952" s="8"/>
      <c r="E952" s="8"/>
      <c r="F952" s="70"/>
      <c r="G952" s="8"/>
    </row>
    <row r="953">
      <c r="B953" s="8"/>
      <c r="C953" s="8"/>
      <c r="D953" s="8"/>
      <c r="E953" s="8"/>
      <c r="F953" s="70"/>
      <c r="G953" s="8"/>
    </row>
    <row r="954">
      <c r="B954" s="8"/>
      <c r="C954" s="8"/>
      <c r="D954" s="8"/>
      <c r="E954" s="8"/>
      <c r="F954" s="70"/>
      <c r="G954" s="8"/>
    </row>
    <row r="955">
      <c r="B955" s="8"/>
      <c r="C955" s="8"/>
      <c r="D955" s="8"/>
      <c r="E955" s="8"/>
      <c r="F955" s="70"/>
      <c r="G955" s="8"/>
    </row>
    <row r="956">
      <c r="B956" s="8"/>
      <c r="C956" s="8"/>
      <c r="D956" s="8"/>
      <c r="E956" s="8"/>
      <c r="F956" s="70"/>
      <c r="G956" s="8"/>
    </row>
    <row r="957">
      <c r="B957" s="8"/>
      <c r="C957" s="8"/>
      <c r="D957" s="8"/>
      <c r="E957" s="8"/>
      <c r="F957" s="70"/>
      <c r="G957" s="8"/>
    </row>
    <row r="958">
      <c r="B958" s="8"/>
      <c r="C958" s="8"/>
      <c r="D958" s="8"/>
      <c r="E958" s="8"/>
      <c r="F958" s="70"/>
      <c r="G958" s="8"/>
    </row>
    <row r="959">
      <c r="B959" s="8"/>
      <c r="C959" s="8"/>
      <c r="D959" s="8"/>
      <c r="E959" s="8"/>
      <c r="F959" s="70"/>
      <c r="G959" s="8"/>
    </row>
    <row r="960">
      <c r="B960" s="8"/>
      <c r="C960" s="8"/>
      <c r="D960" s="8"/>
      <c r="E960" s="8"/>
      <c r="F960" s="70"/>
      <c r="G960" s="8"/>
    </row>
    <row r="961">
      <c r="B961" s="8"/>
      <c r="C961" s="8"/>
      <c r="D961" s="8"/>
      <c r="E961" s="8"/>
      <c r="F961" s="70"/>
      <c r="G961" s="8"/>
    </row>
    <row r="962">
      <c r="B962" s="8"/>
      <c r="C962" s="8"/>
      <c r="D962" s="8"/>
      <c r="E962" s="8"/>
      <c r="F962" s="70"/>
      <c r="G962" s="8"/>
    </row>
    <row r="963">
      <c r="B963" s="8"/>
      <c r="C963" s="8"/>
      <c r="D963" s="8"/>
      <c r="E963" s="8"/>
      <c r="F963" s="70"/>
      <c r="G963" s="8"/>
    </row>
    <row r="964">
      <c r="B964" s="8"/>
      <c r="C964" s="8"/>
      <c r="D964" s="8"/>
      <c r="E964" s="8"/>
      <c r="F964" s="70"/>
      <c r="G964" s="8"/>
    </row>
    <row r="965">
      <c r="B965" s="8"/>
      <c r="C965" s="8"/>
      <c r="D965" s="8"/>
      <c r="E965" s="8"/>
      <c r="F965" s="70"/>
      <c r="G965" s="8"/>
    </row>
    <row r="966">
      <c r="B966" s="8"/>
      <c r="C966" s="8"/>
      <c r="D966" s="8"/>
      <c r="E966" s="8"/>
      <c r="F966" s="70"/>
      <c r="G966" s="8"/>
    </row>
    <row r="967">
      <c r="B967" s="8"/>
      <c r="C967" s="8"/>
      <c r="D967" s="8"/>
      <c r="E967" s="8"/>
      <c r="F967" s="70"/>
      <c r="G967" s="8"/>
    </row>
    <row r="968">
      <c r="B968" s="8"/>
      <c r="C968" s="8"/>
      <c r="D968" s="8"/>
      <c r="E968" s="8"/>
      <c r="F968" s="70"/>
      <c r="G968" s="8"/>
    </row>
    <row r="969">
      <c r="B969" s="8"/>
      <c r="C969" s="8"/>
      <c r="D969" s="8"/>
      <c r="E969" s="8"/>
      <c r="F969" s="70"/>
      <c r="G969" s="8"/>
    </row>
    <row r="970">
      <c r="B970" s="8"/>
      <c r="C970" s="8"/>
      <c r="D970" s="8"/>
      <c r="E970" s="8"/>
      <c r="F970" s="70"/>
      <c r="G970" s="8"/>
    </row>
    <row r="971">
      <c r="B971" s="8"/>
      <c r="C971" s="8"/>
      <c r="D971" s="8"/>
      <c r="E971" s="8"/>
      <c r="F971" s="70"/>
      <c r="G971" s="8"/>
    </row>
    <row r="972">
      <c r="B972" s="8"/>
      <c r="C972" s="8"/>
      <c r="D972" s="8"/>
      <c r="E972" s="8"/>
      <c r="F972" s="70"/>
      <c r="G972" s="8"/>
    </row>
    <row r="973">
      <c r="B973" s="8"/>
      <c r="C973" s="8"/>
      <c r="D973" s="8"/>
      <c r="E973" s="8"/>
      <c r="F973" s="70"/>
      <c r="G973" s="8"/>
    </row>
    <row r="974">
      <c r="B974" s="8"/>
      <c r="C974" s="8"/>
      <c r="D974" s="8"/>
      <c r="E974" s="8"/>
      <c r="F974" s="70"/>
      <c r="G974" s="8"/>
    </row>
    <row r="975">
      <c r="B975" s="8"/>
      <c r="C975" s="8"/>
      <c r="D975" s="8"/>
      <c r="E975" s="8"/>
      <c r="F975" s="70"/>
      <c r="G975" s="8"/>
    </row>
    <row r="976">
      <c r="B976" s="8"/>
      <c r="C976" s="8"/>
      <c r="D976" s="8"/>
      <c r="E976" s="8"/>
      <c r="F976" s="70"/>
      <c r="G976" s="8"/>
    </row>
    <row r="977">
      <c r="B977" s="8"/>
      <c r="C977" s="8"/>
      <c r="D977" s="8"/>
      <c r="E977" s="8"/>
      <c r="F977" s="70"/>
      <c r="G977" s="8"/>
    </row>
    <row r="978">
      <c r="B978" s="8"/>
      <c r="C978" s="8"/>
      <c r="D978" s="8"/>
      <c r="E978" s="8"/>
      <c r="F978" s="70"/>
      <c r="G978" s="8"/>
    </row>
    <row r="979">
      <c r="B979" s="8"/>
      <c r="C979" s="8"/>
      <c r="D979" s="8"/>
      <c r="E979" s="8"/>
      <c r="F979" s="70"/>
      <c r="G979" s="8"/>
    </row>
    <row r="980">
      <c r="B980" s="8"/>
      <c r="C980" s="8"/>
      <c r="D980" s="8"/>
      <c r="E980" s="8"/>
      <c r="F980" s="70"/>
      <c r="G980" s="8"/>
    </row>
    <row r="981">
      <c r="B981" s="8"/>
      <c r="C981" s="8"/>
      <c r="D981" s="8"/>
      <c r="E981" s="8"/>
      <c r="F981" s="70"/>
      <c r="G981" s="8"/>
    </row>
    <row r="982">
      <c r="B982" s="8"/>
      <c r="C982" s="8"/>
      <c r="D982" s="8"/>
      <c r="E982" s="8"/>
      <c r="F982" s="70"/>
      <c r="G982" s="8"/>
    </row>
    <row r="983">
      <c r="B983" s="8"/>
      <c r="C983" s="8"/>
      <c r="D983" s="8"/>
      <c r="E983" s="8"/>
      <c r="F983" s="70"/>
      <c r="G983" s="8"/>
    </row>
    <row r="984">
      <c r="B984" s="8"/>
      <c r="C984" s="8"/>
      <c r="D984" s="8"/>
      <c r="E984" s="8"/>
      <c r="F984" s="70"/>
      <c r="G984" s="8"/>
    </row>
    <row r="985">
      <c r="B985" s="8"/>
      <c r="C985" s="8"/>
      <c r="D985" s="8"/>
      <c r="E985" s="8"/>
      <c r="F985" s="70"/>
      <c r="G985" s="8"/>
    </row>
    <row r="986">
      <c r="B986" s="8"/>
      <c r="C986" s="8"/>
      <c r="D986" s="8"/>
      <c r="E986" s="8"/>
      <c r="F986" s="70"/>
      <c r="G986" s="8"/>
    </row>
    <row r="987">
      <c r="B987" s="8"/>
      <c r="C987" s="8"/>
      <c r="D987" s="8"/>
      <c r="E987" s="8"/>
      <c r="F987" s="70"/>
      <c r="G987" s="8"/>
    </row>
    <row r="988">
      <c r="B988" s="8"/>
      <c r="C988" s="8"/>
      <c r="D988" s="8"/>
      <c r="E988" s="8"/>
      <c r="F988" s="70"/>
      <c r="G988" s="8"/>
    </row>
    <row r="989">
      <c r="B989" s="8"/>
      <c r="C989" s="8"/>
      <c r="D989" s="8"/>
      <c r="E989" s="8"/>
      <c r="F989" s="70"/>
      <c r="G989" s="8"/>
    </row>
    <row r="990">
      <c r="B990" s="8"/>
      <c r="C990" s="8"/>
      <c r="D990" s="8"/>
      <c r="E990" s="8"/>
      <c r="F990" s="70"/>
      <c r="G990" s="8"/>
    </row>
    <row r="991">
      <c r="B991" s="8"/>
      <c r="C991" s="8"/>
      <c r="D991" s="8"/>
      <c r="E991" s="8"/>
      <c r="F991" s="70"/>
      <c r="G991" s="8"/>
    </row>
    <row r="992">
      <c r="B992" s="8"/>
      <c r="C992" s="8"/>
      <c r="D992" s="8"/>
      <c r="E992" s="8"/>
      <c r="F992" s="70"/>
      <c r="G992" s="8"/>
    </row>
    <row r="993">
      <c r="B993" s="8"/>
      <c r="C993" s="8"/>
      <c r="D993" s="8"/>
      <c r="E993" s="8"/>
      <c r="F993" s="70"/>
      <c r="G993" s="8"/>
    </row>
    <row r="994">
      <c r="B994" s="8"/>
      <c r="C994" s="8"/>
      <c r="D994" s="8"/>
      <c r="E994" s="8"/>
      <c r="F994" s="70"/>
      <c r="G994" s="8"/>
    </row>
    <row r="995">
      <c r="B995" s="8"/>
      <c r="C995" s="8"/>
      <c r="D995" s="8"/>
      <c r="E995" s="8"/>
      <c r="F995" s="70"/>
      <c r="G995" s="8"/>
    </row>
    <row r="996">
      <c r="B996" s="8"/>
      <c r="C996" s="8"/>
      <c r="D996" s="8"/>
      <c r="E996" s="8"/>
      <c r="F996" s="70"/>
      <c r="G996" s="8"/>
    </row>
    <row r="997">
      <c r="B997" s="8"/>
      <c r="C997" s="8"/>
      <c r="D997" s="8"/>
      <c r="E997" s="8"/>
      <c r="F997" s="70"/>
      <c r="G997" s="8"/>
    </row>
    <row r="998">
      <c r="B998" s="8"/>
      <c r="C998" s="8"/>
      <c r="D998" s="8"/>
      <c r="E998" s="8"/>
      <c r="F998" s="70"/>
      <c r="G998" s="8"/>
    </row>
    <row r="999">
      <c r="B999" s="8"/>
      <c r="C999" s="8"/>
      <c r="D999" s="8"/>
      <c r="E999" s="8"/>
      <c r="F999" s="70"/>
      <c r="G999" s="8"/>
    </row>
    <row r="1000">
      <c r="B1000" s="8"/>
      <c r="C1000" s="8"/>
      <c r="D1000" s="8"/>
      <c r="E1000" s="8"/>
      <c r="F1000" s="70"/>
      <c r="G1000" s="8"/>
    </row>
    <row r="1001">
      <c r="B1001" s="8"/>
      <c r="C1001" s="8"/>
      <c r="D1001" s="8"/>
      <c r="E1001" s="8"/>
      <c r="F1001" s="70"/>
      <c r="G1001" s="8"/>
    </row>
    <row r="1002">
      <c r="B1002" s="8"/>
      <c r="C1002" s="8"/>
      <c r="D1002" s="8"/>
      <c r="E1002" s="8"/>
      <c r="F1002" s="70"/>
      <c r="G1002" s="8"/>
    </row>
    <row r="1003">
      <c r="B1003" s="8"/>
      <c r="C1003" s="8"/>
      <c r="D1003" s="8"/>
      <c r="E1003" s="8"/>
      <c r="F1003" s="70"/>
      <c r="G1003" s="8"/>
    </row>
    <row r="1004">
      <c r="B1004" s="8"/>
      <c r="C1004" s="8"/>
      <c r="D1004" s="8"/>
      <c r="E1004" s="8"/>
      <c r="F1004" s="70"/>
      <c r="G1004" s="8"/>
    </row>
    <row r="1005">
      <c r="B1005" s="8"/>
      <c r="C1005" s="8"/>
      <c r="D1005" s="8"/>
      <c r="E1005" s="8"/>
      <c r="F1005" s="70"/>
      <c r="G1005" s="8"/>
    </row>
    <row r="1006">
      <c r="B1006" s="8"/>
      <c r="C1006" s="8"/>
      <c r="D1006" s="8"/>
      <c r="E1006" s="8"/>
      <c r="F1006" s="70"/>
      <c r="G1006" s="8"/>
    </row>
    <row r="1007">
      <c r="B1007" s="8"/>
      <c r="C1007" s="8"/>
      <c r="D1007" s="8"/>
      <c r="E1007" s="8"/>
      <c r="F1007" s="70"/>
      <c r="G1007" s="8"/>
    </row>
    <row r="1008">
      <c r="B1008" s="8"/>
      <c r="C1008" s="8"/>
      <c r="D1008" s="8"/>
      <c r="E1008" s="8"/>
      <c r="F1008" s="70"/>
      <c r="G1008" s="8"/>
    </row>
    <row r="1009">
      <c r="B1009" s="8"/>
      <c r="C1009" s="8"/>
      <c r="D1009" s="8"/>
      <c r="E1009" s="8"/>
      <c r="F1009" s="70"/>
      <c r="G1009" s="8"/>
    </row>
    <row r="1010">
      <c r="B1010" s="8"/>
      <c r="C1010" s="8"/>
      <c r="D1010" s="8"/>
      <c r="E1010" s="8"/>
      <c r="F1010" s="70"/>
      <c r="G1010" s="8"/>
    </row>
    <row r="1011">
      <c r="B1011" s="8"/>
      <c r="C1011" s="8"/>
      <c r="D1011" s="8"/>
      <c r="E1011" s="8"/>
      <c r="F1011" s="70"/>
      <c r="G1011" s="8"/>
    </row>
    <row r="1012">
      <c r="B1012" s="8"/>
      <c r="C1012" s="8"/>
      <c r="D1012" s="8"/>
      <c r="E1012" s="8"/>
      <c r="F1012" s="70"/>
      <c r="G1012" s="8"/>
    </row>
    <row r="1013">
      <c r="B1013" s="8"/>
      <c r="C1013" s="8"/>
      <c r="D1013" s="8"/>
      <c r="E1013" s="8"/>
      <c r="F1013" s="70"/>
      <c r="G1013" s="8"/>
    </row>
    <row r="1014">
      <c r="B1014" s="8"/>
      <c r="C1014" s="8"/>
      <c r="D1014" s="8"/>
      <c r="E1014" s="8"/>
      <c r="F1014" s="70"/>
      <c r="G1014" s="8"/>
    </row>
    <row r="1015">
      <c r="B1015" s="8"/>
      <c r="C1015" s="8"/>
      <c r="D1015" s="8"/>
      <c r="E1015" s="8"/>
      <c r="F1015" s="70"/>
      <c r="G1015" s="8"/>
    </row>
    <row r="1016">
      <c r="B1016" s="8"/>
      <c r="C1016" s="8"/>
      <c r="D1016" s="8"/>
      <c r="E1016" s="8"/>
      <c r="F1016" s="70"/>
      <c r="G1016" s="8"/>
    </row>
    <row r="1017">
      <c r="B1017" s="8"/>
      <c r="C1017" s="8"/>
      <c r="D1017" s="8"/>
      <c r="E1017" s="8"/>
      <c r="F1017" s="70"/>
      <c r="G1017" s="8"/>
    </row>
    <row r="1018">
      <c r="B1018" s="8"/>
      <c r="C1018" s="8"/>
      <c r="D1018" s="8"/>
      <c r="E1018" s="8"/>
      <c r="F1018" s="70"/>
      <c r="G1018" s="8"/>
    </row>
    <row r="1019">
      <c r="B1019" s="8"/>
      <c r="C1019" s="8"/>
      <c r="D1019" s="8"/>
      <c r="E1019" s="8"/>
      <c r="F1019" s="70"/>
      <c r="G1019" s="8"/>
    </row>
    <row r="1020">
      <c r="B1020" s="8"/>
      <c r="C1020" s="8"/>
      <c r="D1020" s="8"/>
      <c r="E1020" s="8"/>
      <c r="F1020" s="70"/>
      <c r="G1020" s="8"/>
    </row>
    <row r="1021">
      <c r="B1021" s="8"/>
      <c r="C1021" s="8"/>
      <c r="D1021" s="8"/>
      <c r="E1021" s="8"/>
      <c r="F1021" s="70"/>
      <c r="G1021" s="8"/>
    </row>
    <row r="1022">
      <c r="B1022" s="8"/>
      <c r="C1022" s="8"/>
      <c r="D1022" s="8"/>
      <c r="E1022" s="8"/>
      <c r="F1022" s="70"/>
      <c r="G1022" s="8"/>
    </row>
    <row r="1023">
      <c r="B1023" s="8"/>
      <c r="C1023" s="8"/>
      <c r="D1023" s="8"/>
      <c r="E1023" s="8"/>
      <c r="F1023" s="70"/>
      <c r="G1023" s="8"/>
    </row>
    <row r="1024">
      <c r="B1024" s="8"/>
      <c r="C1024" s="8"/>
      <c r="D1024" s="8"/>
      <c r="E1024" s="8"/>
      <c r="F1024" s="70"/>
      <c r="G1024" s="8"/>
    </row>
    <row r="1025">
      <c r="B1025" s="8"/>
      <c r="C1025" s="8"/>
      <c r="D1025" s="8"/>
      <c r="E1025" s="8"/>
      <c r="F1025" s="70"/>
      <c r="G1025" s="8"/>
    </row>
    <row r="1026">
      <c r="B1026" s="8"/>
      <c r="C1026" s="8"/>
      <c r="D1026" s="8"/>
      <c r="E1026" s="8"/>
      <c r="F1026" s="70"/>
      <c r="G1026" s="8"/>
    </row>
    <row r="1027">
      <c r="B1027" s="8"/>
      <c r="C1027" s="8"/>
      <c r="D1027" s="8"/>
      <c r="E1027" s="8"/>
      <c r="F1027" s="70"/>
      <c r="G1027" s="8"/>
    </row>
    <row r="1028">
      <c r="B1028" s="8"/>
      <c r="C1028" s="8"/>
      <c r="D1028" s="8"/>
      <c r="E1028" s="8"/>
      <c r="F1028" s="70"/>
      <c r="G1028" s="8"/>
    </row>
    <row r="1029">
      <c r="B1029" s="8"/>
      <c r="C1029" s="8"/>
      <c r="D1029" s="8"/>
      <c r="E1029" s="8"/>
      <c r="F1029" s="70"/>
      <c r="G1029" s="8"/>
    </row>
    <row r="1030">
      <c r="B1030" s="8"/>
      <c r="C1030" s="8"/>
      <c r="D1030" s="8"/>
      <c r="E1030" s="8"/>
      <c r="F1030" s="70"/>
      <c r="G1030" s="8"/>
    </row>
    <row r="1031">
      <c r="B1031" s="8"/>
      <c r="C1031" s="8"/>
      <c r="D1031" s="8"/>
      <c r="E1031" s="8"/>
      <c r="F1031" s="70"/>
      <c r="G1031" s="8"/>
    </row>
    <row r="1032">
      <c r="B1032" s="8"/>
      <c r="C1032" s="8"/>
      <c r="D1032" s="8"/>
      <c r="E1032" s="8"/>
      <c r="F1032" s="70"/>
      <c r="G1032" s="8"/>
    </row>
    <row r="1033">
      <c r="B1033" s="8"/>
      <c r="C1033" s="8"/>
      <c r="D1033" s="8"/>
      <c r="E1033" s="8"/>
      <c r="F1033" s="70"/>
      <c r="G1033" s="8"/>
    </row>
    <row r="1034">
      <c r="B1034" s="8"/>
      <c r="C1034" s="8"/>
      <c r="D1034" s="8"/>
      <c r="E1034" s="8"/>
      <c r="F1034" s="70"/>
      <c r="G1034" s="8"/>
    </row>
    <row r="1035">
      <c r="B1035" s="8"/>
      <c r="C1035" s="8"/>
      <c r="D1035" s="8"/>
      <c r="E1035" s="8"/>
      <c r="F1035" s="70"/>
      <c r="G1035" s="8"/>
    </row>
    <row r="1036">
      <c r="B1036" s="8"/>
      <c r="C1036" s="8"/>
      <c r="D1036" s="8"/>
      <c r="E1036" s="8"/>
      <c r="F1036" s="70"/>
      <c r="G1036" s="8"/>
    </row>
    <row r="1037">
      <c r="B1037" s="8"/>
      <c r="C1037" s="8"/>
      <c r="D1037" s="8"/>
      <c r="E1037" s="8"/>
      <c r="F1037" s="70"/>
      <c r="G1037" s="8"/>
    </row>
    <row r="1038">
      <c r="B1038" s="8"/>
      <c r="C1038" s="8"/>
      <c r="D1038" s="8"/>
      <c r="E1038" s="8"/>
      <c r="F1038" s="70"/>
      <c r="G1038" s="8"/>
    </row>
  </sheetData>
  <mergeCells count="124">
    <mergeCell ref="G7:H7"/>
    <mergeCell ref="G8:H8"/>
    <mergeCell ref="B2:K3"/>
    <mergeCell ref="B5:E5"/>
    <mergeCell ref="G5:H5"/>
    <mergeCell ref="C6:D6"/>
    <mergeCell ref="G6:H6"/>
    <mergeCell ref="C7:D7"/>
    <mergeCell ref="C8:D8"/>
    <mergeCell ref="C12:D12"/>
    <mergeCell ref="C13:D13"/>
    <mergeCell ref="C14:D14"/>
    <mergeCell ref="C15:D15"/>
    <mergeCell ref="C16:D16"/>
    <mergeCell ref="B17:B18"/>
    <mergeCell ref="C17:D17"/>
    <mergeCell ref="C18:D18"/>
    <mergeCell ref="C9:D9"/>
    <mergeCell ref="G9:H9"/>
    <mergeCell ref="C10:D10"/>
    <mergeCell ref="G10:H10"/>
    <mergeCell ref="C11:D11"/>
    <mergeCell ref="G11:H11"/>
    <mergeCell ref="G12:H12"/>
    <mergeCell ref="G13:H13"/>
    <mergeCell ref="G14:H14"/>
    <mergeCell ref="G15:H15"/>
    <mergeCell ref="G16:H16"/>
    <mergeCell ref="G17:H17"/>
    <mergeCell ref="G18:H18"/>
    <mergeCell ref="B20:K24"/>
    <mergeCell ref="G30:H30"/>
    <mergeCell ref="G31:H31"/>
    <mergeCell ref="B25:K26"/>
    <mergeCell ref="B28:E28"/>
    <mergeCell ref="G28:H28"/>
    <mergeCell ref="C29:D29"/>
    <mergeCell ref="G29:H29"/>
    <mergeCell ref="C30:D30"/>
    <mergeCell ref="C31:D31"/>
    <mergeCell ref="C57:D57"/>
    <mergeCell ref="C58:D58"/>
    <mergeCell ref="C59:D59"/>
    <mergeCell ref="C60:D60"/>
    <mergeCell ref="C61:D61"/>
    <mergeCell ref="B62:B63"/>
    <mergeCell ref="C62:D62"/>
    <mergeCell ref="C63:D63"/>
    <mergeCell ref="G58:H58"/>
    <mergeCell ref="G59:H59"/>
    <mergeCell ref="G60:H60"/>
    <mergeCell ref="G61:H61"/>
    <mergeCell ref="G62:H62"/>
    <mergeCell ref="G63:H63"/>
    <mergeCell ref="B65:K66"/>
    <mergeCell ref="G74:H74"/>
    <mergeCell ref="G75:H75"/>
    <mergeCell ref="B69:K70"/>
    <mergeCell ref="B72:E72"/>
    <mergeCell ref="G72:H72"/>
    <mergeCell ref="C73:D73"/>
    <mergeCell ref="G73:H73"/>
    <mergeCell ref="C74:D74"/>
    <mergeCell ref="C75:D75"/>
    <mergeCell ref="C76:D76"/>
    <mergeCell ref="G76:H76"/>
    <mergeCell ref="C77:D77"/>
    <mergeCell ref="G77:H77"/>
    <mergeCell ref="C78:D78"/>
    <mergeCell ref="G78:H78"/>
    <mergeCell ref="G79:H79"/>
    <mergeCell ref="C83:D83"/>
    <mergeCell ref="C84:D84"/>
    <mergeCell ref="B84:B85"/>
    <mergeCell ref="C85:D85"/>
    <mergeCell ref="B87:K88"/>
    <mergeCell ref="C79:D79"/>
    <mergeCell ref="C80:D80"/>
    <mergeCell ref="C81:D81"/>
    <mergeCell ref="C82:D82"/>
    <mergeCell ref="G82:H82"/>
    <mergeCell ref="G83:H83"/>
    <mergeCell ref="G84:H84"/>
    <mergeCell ref="G85:H85"/>
    <mergeCell ref="C35:D35"/>
    <mergeCell ref="C36:D36"/>
    <mergeCell ref="C37:D37"/>
    <mergeCell ref="C38:D38"/>
    <mergeCell ref="C39:D39"/>
    <mergeCell ref="B40:B41"/>
    <mergeCell ref="C40:D40"/>
    <mergeCell ref="C41:D41"/>
    <mergeCell ref="C32:D32"/>
    <mergeCell ref="G32:H32"/>
    <mergeCell ref="C33:D33"/>
    <mergeCell ref="G33:H33"/>
    <mergeCell ref="C34:D34"/>
    <mergeCell ref="G34:H34"/>
    <mergeCell ref="G35:H35"/>
    <mergeCell ref="G36:H36"/>
    <mergeCell ref="G37:H37"/>
    <mergeCell ref="G38:H38"/>
    <mergeCell ref="G39:H39"/>
    <mergeCell ref="G40:H40"/>
    <mergeCell ref="G41:H41"/>
    <mergeCell ref="B43:K44"/>
    <mergeCell ref="G52:H52"/>
    <mergeCell ref="G53:H53"/>
    <mergeCell ref="B47:K48"/>
    <mergeCell ref="B50:E50"/>
    <mergeCell ref="G50:H50"/>
    <mergeCell ref="C51:D51"/>
    <mergeCell ref="G51:H51"/>
    <mergeCell ref="C52:D52"/>
    <mergeCell ref="C53:D53"/>
    <mergeCell ref="C54:D54"/>
    <mergeCell ref="G54:H54"/>
    <mergeCell ref="C55:D55"/>
    <mergeCell ref="G55:H55"/>
    <mergeCell ref="C56:D56"/>
    <mergeCell ref="G56:H56"/>
    <mergeCell ref="G57:H57"/>
    <mergeCell ref="G80:H80"/>
    <mergeCell ref="G81:H81"/>
  </mergeCells>
  <conditionalFormatting sqref="J6:K6">
    <cfRule type="notContainsBlanks" dxfId="4" priority="1">
      <formula>LEN(TRIM(J6))&gt;0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2.88"/>
    <col customWidth="1" min="3" max="3" width="15.38"/>
    <col customWidth="1" min="4" max="4" width="14.63"/>
    <col customWidth="1" min="6" max="6" width="5.88"/>
    <col customWidth="1" min="7" max="7" width="15.38"/>
    <col customWidth="1" min="13" max="13" width="5.38"/>
    <col customWidth="1" min="14" max="14" width="18.63"/>
    <col customWidth="1" min="17" max="17" width="8.5"/>
    <col customWidth="1" min="18" max="18" width="19.25"/>
  </cols>
  <sheetData>
    <row r="1">
      <c r="B1" s="1"/>
      <c r="C1" s="1"/>
      <c r="D1" s="1"/>
      <c r="E1" s="1"/>
      <c r="F1" s="127"/>
      <c r="G1" s="1"/>
      <c r="L1" s="128"/>
      <c r="Q1" s="128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28"/>
      <c r="M2" s="2" t="s">
        <v>0</v>
      </c>
      <c r="N2" s="3"/>
      <c r="O2" s="3"/>
      <c r="P2" s="3"/>
      <c r="Q2" s="3"/>
      <c r="R2" s="3"/>
      <c r="S2" s="3"/>
      <c r="T2" s="3"/>
      <c r="U2" s="3"/>
      <c r="V2" s="4"/>
    </row>
    <row r="3">
      <c r="B3" s="5"/>
      <c r="C3" s="6"/>
      <c r="D3" s="6"/>
      <c r="E3" s="6"/>
      <c r="F3" s="6"/>
      <c r="G3" s="6"/>
      <c r="H3" s="6"/>
      <c r="I3" s="6"/>
      <c r="J3" s="6"/>
      <c r="K3" s="7"/>
      <c r="L3" s="128"/>
      <c r="M3" s="5"/>
      <c r="N3" s="6"/>
      <c r="O3" s="6"/>
      <c r="P3" s="6"/>
      <c r="Q3" s="6"/>
      <c r="R3" s="6"/>
      <c r="S3" s="6"/>
      <c r="T3" s="6"/>
      <c r="U3" s="6"/>
      <c r="V3" s="7"/>
    </row>
    <row r="4">
      <c r="B4" s="8"/>
      <c r="C4" s="8"/>
      <c r="D4" s="8"/>
      <c r="E4" s="8"/>
      <c r="F4" s="129"/>
      <c r="G4" s="8"/>
      <c r="L4" s="128"/>
      <c r="M4" s="8"/>
      <c r="N4" s="8"/>
      <c r="O4" s="8"/>
      <c r="P4" s="8"/>
      <c r="Q4" s="129"/>
      <c r="R4" s="8"/>
    </row>
    <row r="5">
      <c r="B5" s="9" t="s">
        <v>26</v>
      </c>
      <c r="C5" s="10"/>
      <c r="D5" s="10"/>
      <c r="E5" s="11"/>
      <c r="F5" s="128"/>
      <c r="G5" s="72" t="s">
        <v>40</v>
      </c>
      <c r="H5" s="10"/>
      <c r="I5" s="12" t="s">
        <v>2</v>
      </c>
      <c r="J5" s="13" t="s">
        <v>3</v>
      </c>
      <c r="K5" s="14" t="s">
        <v>4</v>
      </c>
      <c r="L5" s="128"/>
      <c r="M5" s="9" t="s">
        <v>26</v>
      </c>
      <c r="N5" s="10"/>
      <c r="O5" s="10"/>
      <c r="P5" s="11"/>
      <c r="Q5" s="128"/>
      <c r="R5" s="72" t="s">
        <v>41</v>
      </c>
      <c r="S5" s="10"/>
      <c r="T5" s="12" t="s">
        <v>2</v>
      </c>
      <c r="U5" s="13" t="s">
        <v>3</v>
      </c>
      <c r="V5" s="14" t="s">
        <v>4</v>
      </c>
    </row>
    <row r="6">
      <c r="B6" s="15">
        <v>1.0</v>
      </c>
      <c r="C6" s="16" t="s">
        <v>5</v>
      </c>
      <c r="D6" s="11"/>
      <c r="E6" s="130">
        <v>168.0</v>
      </c>
      <c r="F6" s="128"/>
      <c r="G6" s="17" t="s">
        <v>6</v>
      </c>
      <c r="H6" s="18"/>
      <c r="I6" s="19">
        <f>E6</f>
        <v>168</v>
      </c>
      <c r="J6" s="20"/>
      <c r="K6" s="21"/>
      <c r="L6" s="128"/>
      <c r="M6" s="15">
        <v>1.0</v>
      </c>
      <c r="N6" s="16" t="s">
        <v>5</v>
      </c>
      <c r="O6" s="11"/>
      <c r="P6" s="130">
        <v>427.0</v>
      </c>
      <c r="Q6" s="128"/>
      <c r="R6" s="17" t="s">
        <v>6</v>
      </c>
      <c r="S6" s="18"/>
      <c r="T6" s="19">
        <f>P6</f>
        <v>427</v>
      </c>
      <c r="U6" s="20"/>
      <c r="V6" s="21"/>
    </row>
    <row r="7">
      <c r="B7" s="22">
        <v>2.0</v>
      </c>
      <c r="C7" s="23" t="s">
        <v>7</v>
      </c>
      <c r="D7" s="11"/>
      <c r="E7" s="131">
        <v>0.7</v>
      </c>
      <c r="F7" s="132">
        <v>0.7</v>
      </c>
      <c r="G7" s="25" t="s">
        <v>8</v>
      </c>
      <c r="H7" s="26"/>
      <c r="I7" s="27">
        <f t="shared" ref="I7:I8" si="1">I6*J7</f>
        <v>117.6</v>
      </c>
      <c r="J7" s="28">
        <f t="shared" ref="J7:J8" si="2">E7</f>
        <v>0.7</v>
      </c>
      <c r="K7" s="29">
        <f t="shared" ref="K7:K8" si="3">I7+(I7*E9)</f>
        <v>141.12</v>
      </c>
      <c r="L7" s="133">
        <f>K7/I6</f>
        <v>0.84</v>
      </c>
      <c r="M7" s="22">
        <v>2.0</v>
      </c>
      <c r="N7" s="23" t="s">
        <v>7</v>
      </c>
      <c r="O7" s="11"/>
      <c r="P7" s="131">
        <v>0.65</v>
      </c>
      <c r="Q7" s="132">
        <v>0.7</v>
      </c>
      <c r="R7" s="25" t="s">
        <v>8</v>
      </c>
      <c r="S7" s="26"/>
      <c r="T7" s="27">
        <f t="shared" ref="T7:T8" si="4">T6*U7</f>
        <v>277.55</v>
      </c>
      <c r="U7" s="28">
        <f t="shared" ref="U7:U8" si="5">P7</f>
        <v>0.65</v>
      </c>
      <c r="V7" s="29">
        <f t="shared" ref="V7:V8" si="6">T7+(T7*P9)</f>
        <v>333.06</v>
      </c>
      <c r="W7" s="75">
        <f>V7/T6</f>
        <v>0.78</v>
      </c>
    </row>
    <row r="8">
      <c r="B8" s="30">
        <v>3.0</v>
      </c>
      <c r="C8" s="31" t="s">
        <v>9</v>
      </c>
      <c r="D8" s="11"/>
      <c r="E8" s="134">
        <v>0.6</v>
      </c>
      <c r="F8" s="135" t="s">
        <v>36</v>
      </c>
      <c r="G8" s="25" t="s">
        <v>10</v>
      </c>
      <c r="H8" s="26"/>
      <c r="I8" s="33">
        <f t="shared" si="1"/>
        <v>70.56</v>
      </c>
      <c r="J8" s="34">
        <f t="shared" si="2"/>
        <v>0.6</v>
      </c>
      <c r="K8" s="35">
        <f t="shared" si="3"/>
        <v>105.84</v>
      </c>
      <c r="L8" s="133">
        <f>K8/K7</f>
        <v>0.75</v>
      </c>
      <c r="M8" s="30">
        <v>3.0</v>
      </c>
      <c r="N8" s="31" t="s">
        <v>9</v>
      </c>
      <c r="O8" s="11"/>
      <c r="P8" s="134">
        <v>0.4</v>
      </c>
      <c r="Q8" s="135" t="s">
        <v>42</v>
      </c>
      <c r="R8" s="25" t="s">
        <v>10</v>
      </c>
      <c r="S8" s="26"/>
      <c r="T8" s="33">
        <f t="shared" si="4"/>
        <v>111.02</v>
      </c>
      <c r="U8" s="34">
        <f t="shared" si="5"/>
        <v>0.4</v>
      </c>
      <c r="V8" s="35">
        <f t="shared" si="6"/>
        <v>144.326</v>
      </c>
      <c r="W8" s="75">
        <f>V8/V7</f>
        <v>0.4333333333</v>
      </c>
    </row>
    <row r="9">
      <c r="B9" s="36">
        <v>4.0</v>
      </c>
      <c r="C9" s="37" t="s">
        <v>11</v>
      </c>
      <c r="D9" s="11"/>
      <c r="E9" s="136">
        <v>0.2</v>
      </c>
      <c r="F9" s="128"/>
      <c r="G9" s="25" t="s">
        <v>12</v>
      </c>
      <c r="H9" s="26"/>
      <c r="I9" s="39">
        <f>E11</f>
        <v>72</v>
      </c>
      <c r="J9" s="40">
        <f>E12</f>
        <v>0.25</v>
      </c>
      <c r="K9" s="41">
        <f>I9+(I9*E12)</f>
        <v>90</v>
      </c>
      <c r="L9" s="137"/>
      <c r="M9" s="36">
        <v>4.0</v>
      </c>
      <c r="N9" s="37" t="s">
        <v>11</v>
      </c>
      <c r="O9" s="11"/>
      <c r="P9" s="136">
        <v>0.2</v>
      </c>
      <c r="Q9" s="128"/>
      <c r="R9" s="25" t="s">
        <v>12</v>
      </c>
      <c r="S9" s="26"/>
      <c r="T9" s="39">
        <f>P11</f>
        <v>38</v>
      </c>
      <c r="U9" s="40">
        <f>P12</f>
        <v>0.4</v>
      </c>
      <c r="V9" s="41">
        <f>T9+(T9*P12)</f>
        <v>53.2</v>
      </c>
    </row>
    <row r="10">
      <c r="B10" s="42">
        <v>5.0</v>
      </c>
      <c r="C10" s="43" t="s">
        <v>13</v>
      </c>
      <c r="D10" s="11"/>
      <c r="E10" s="138">
        <v>0.5</v>
      </c>
      <c r="F10" s="128"/>
      <c r="G10" s="25" t="s">
        <v>14</v>
      </c>
      <c r="H10" s="26"/>
      <c r="I10" s="45">
        <f>E13</f>
        <v>18150</v>
      </c>
      <c r="J10" s="46">
        <f>E14</f>
        <v>0.25</v>
      </c>
      <c r="K10" s="47">
        <f>I10+(I10*J10)</f>
        <v>22687.5</v>
      </c>
      <c r="L10" s="139">
        <f>K10/3</f>
        <v>7562.5</v>
      </c>
      <c r="M10" s="42">
        <v>5.0</v>
      </c>
      <c r="N10" s="43" t="s">
        <v>13</v>
      </c>
      <c r="O10" s="11"/>
      <c r="P10" s="138">
        <v>0.3</v>
      </c>
      <c r="Q10" s="128"/>
      <c r="R10" s="25" t="s">
        <v>14</v>
      </c>
      <c r="S10" s="26"/>
      <c r="T10" s="45">
        <f>P13</f>
        <v>300</v>
      </c>
      <c r="U10" s="46">
        <f>P14</f>
        <v>0.2</v>
      </c>
      <c r="V10" s="47">
        <f>T10+(T10*U10)</f>
        <v>360</v>
      </c>
    </row>
    <row r="11">
      <c r="B11" s="48">
        <v>6.0</v>
      </c>
      <c r="C11" s="49" t="s">
        <v>15</v>
      </c>
      <c r="D11" s="11"/>
      <c r="E11" s="140">
        <v>72.0</v>
      </c>
      <c r="F11" s="128"/>
      <c r="G11" s="25" t="s">
        <v>16</v>
      </c>
      <c r="H11" s="26"/>
      <c r="I11" s="45">
        <f>IFERROR(I7/E15,0)</f>
        <v>19.6</v>
      </c>
      <c r="J11" s="51"/>
      <c r="K11" s="47">
        <f>IFERROR(K7/K13,0)</f>
        <v>21.38181818</v>
      </c>
      <c r="L11" s="137"/>
      <c r="M11" s="48">
        <v>6.0</v>
      </c>
      <c r="N11" s="49" t="s">
        <v>15</v>
      </c>
      <c r="O11" s="11"/>
      <c r="P11" s="140">
        <v>38.0</v>
      </c>
      <c r="Q11" s="128"/>
      <c r="R11" s="25" t="s">
        <v>16</v>
      </c>
      <c r="S11" s="26"/>
      <c r="T11" s="45">
        <f>IFERROR(T7/P15,0)</f>
        <v>69.3875</v>
      </c>
      <c r="U11" s="51"/>
      <c r="V11" s="47">
        <f>IFERROR(V7/V13,0)</f>
        <v>69.3875</v>
      </c>
    </row>
    <row r="12">
      <c r="B12" s="48">
        <v>7.0</v>
      </c>
      <c r="C12" s="49" t="s">
        <v>17</v>
      </c>
      <c r="D12" s="11"/>
      <c r="E12" s="141">
        <v>0.25</v>
      </c>
      <c r="F12" s="128"/>
      <c r="G12" s="25" t="s">
        <v>18</v>
      </c>
      <c r="H12" s="26"/>
      <c r="I12" s="53">
        <f>IFERROR(I10/I8,0)</f>
        <v>257.2278912</v>
      </c>
      <c r="J12" s="51"/>
      <c r="K12" s="54">
        <f>IFERROR(K10/K8,0)</f>
        <v>214.356576</v>
      </c>
      <c r="L12" s="128"/>
      <c r="M12" s="48">
        <v>7.0</v>
      </c>
      <c r="N12" s="49" t="s">
        <v>17</v>
      </c>
      <c r="O12" s="11"/>
      <c r="P12" s="141">
        <v>0.4</v>
      </c>
      <c r="Q12" s="128"/>
      <c r="R12" s="25" t="s">
        <v>18</v>
      </c>
      <c r="S12" s="26"/>
      <c r="T12" s="53">
        <f>IFERROR(T10/T8,0)</f>
        <v>2.702215817</v>
      </c>
      <c r="U12" s="51"/>
      <c r="V12" s="54">
        <f>IFERROR(V10/V8,0)</f>
        <v>2.494353062</v>
      </c>
    </row>
    <row r="13">
      <c r="B13" s="55">
        <v>8.0</v>
      </c>
      <c r="C13" s="56" t="s">
        <v>19</v>
      </c>
      <c r="D13" s="11"/>
      <c r="E13" s="142">
        <f>6050*3</f>
        <v>18150</v>
      </c>
      <c r="F13" s="143">
        <v>5253.0</v>
      </c>
      <c r="G13" s="25" t="s">
        <v>20</v>
      </c>
      <c r="H13" s="26"/>
      <c r="I13" s="59"/>
      <c r="J13" s="51"/>
      <c r="K13" s="47">
        <f>E15+(E15*E16)</f>
        <v>6.6</v>
      </c>
      <c r="L13" s="128"/>
      <c r="M13" s="55">
        <v>8.0</v>
      </c>
      <c r="N13" s="56" t="s">
        <v>19</v>
      </c>
      <c r="O13" s="11"/>
      <c r="P13" s="142">
        <v>300.0</v>
      </c>
      <c r="Q13" s="143">
        <v>234.0</v>
      </c>
      <c r="R13" s="25" t="s">
        <v>20</v>
      </c>
      <c r="S13" s="26"/>
      <c r="T13" s="59"/>
      <c r="U13" s="51"/>
      <c r="V13" s="47">
        <f>P15+(P15*P16)</f>
        <v>4.8</v>
      </c>
    </row>
    <row r="14">
      <c r="B14" s="55">
        <v>9.0</v>
      </c>
      <c r="C14" s="56" t="s">
        <v>21</v>
      </c>
      <c r="D14" s="11"/>
      <c r="E14" s="144">
        <v>0.25</v>
      </c>
      <c r="F14" s="145"/>
      <c r="G14" s="25" t="s">
        <v>22</v>
      </c>
      <c r="H14" s="26"/>
      <c r="I14" s="45">
        <f>IFERROR(I10/E15,0)</f>
        <v>3025</v>
      </c>
      <c r="J14" s="51"/>
      <c r="K14" s="47">
        <f>IFERROR(K10/K13,0)</f>
        <v>3437.5</v>
      </c>
      <c r="L14" s="128"/>
      <c r="M14" s="55">
        <v>9.0</v>
      </c>
      <c r="N14" s="56" t="s">
        <v>21</v>
      </c>
      <c r="O14" s="11"/>
      <c r="P14" s="144">
        <v>0.2</v>
      </c>
      <c r="Q14" s="145"/>
      <c r="R14" s="25" t="s">
        <v>22</v>
      </c>
      <c r="S14" s="26"/>
      <c r="T14" s="45">
        <f>IFERROR(T10/P15,0)</f>
        <v>75</v>
      </c>
      <c r="U14" s="51"/>
      <c r="V14" s="47">
        <f>IFERROR(V10/V13,0)</f>
        <v>75</v>
      </c>
    </row>
    <row r="15">
      <c r="B15" s="55">
        <v>10.0</v>
      </c>
      <c r="C15" s="56" t="s">
        <v>23</v>
      </c>
      <c r="D15" s="11"/>
      <c r="E15" s="142">
        <v>6.0</v>
      </c>
      <c r="F15" s="145"/>
      <c r="G15" s="25"/>
      <c r="H15" s="26"/>
      <c r="I15" s="59"/>
      <c r="J15" s="51"/>
      <c r="K15" s="146"/>
      <c r="L15" s="128"/>
      <c r="M15" s="55">
        <v>10.0</v>
      </c>
      <c r="N15" s="56" t="s">
        <v>23</v>
      </c>
      <c r="O15" s="11"/>
      <c r="P15" s="142">
        <v>4.0</v>
      </c>
      <c r="Q15" s="145"/>
      <c r="R15" s="25"/>
      <c r="S15" s="26"/>
      <c r="T15" s="59"/>
      <c r="U15" s="51"/>
      <c r="V15" s="146"/>
    </row>
    <row r="16">
      <c r="B16" s="55">
        <v>11.0</v>
      </c>
      <c r="C16" s="56" t="s">
        <v>24</v>
      </c>
      <c r="D16" s="11"/>
      <c r="E16" s="144">
        <v>0.1</v>
      </c>
      <c r="F16" s="145"/>
      <c r="G16" s="147" t="s">
        <v>30</v>
      </c>
      <c r="H16" s="26"/>
      <c r="I16" s="88"/>
      <c r="J16" s="89"/>
      <c r="K16" s="90">
        <f>(K10*28)*E17</f>
        <v>101640</v>
      </c>
      <c r="L16" s="128"/>
      <c r="M16" s="55">
        <v>11.0</v>
      </c>
      <c r="N16" s="56" t="s">
        <v>24</v>
      </c>
      <c r="O16" s="11"/>
      <c r="P16" s="144">
        <v>0.2</v>
      </c>
      <c r="Q16" s="145"/>
      <c r="R16" s="147" t="s">
        <v>30</v>
      </c>
      <c r="S16" s="26"/>
      <c r="T16" s="88"/>
      <c r="U16" s="89"/>
      <c r="V16" s="90">
        <f>(V10*28)*P17</f>
        <v>0</v>
      </c>
    </row>
    <row r="17">
      <c r="B17" s="91">
        <v>12.0</v>
      </c>
      <c r="C17" s="92" t="s">
        <v>31</v>
      </c>
      <c r="D17" s="11"/>
      <c r="E17" s="93">
        <v>0.16</v>
      </c>
      <c r="F17" s="145"/>
      <c r="G17" s="147" t="s">
        <v>32</v>
      </c>
      <c r="H17" s="26"/>
      <c r="I17" s="94"/>
      <c r="J17" s="95"/>
      <c r="K17" s="90">
        <f>(K10*28)*E18</f>
        <v>6352.5</v>
      </c>
      <c r="L17" s="128"/>
      <c r="M17" s="91">
        <v>12.0</v>
      </c>
      <c r="N17" s="92" t="s">
        <v>31</v>
      </c>
      <c r="O17" s="11"/>
      <c r="P17" s="93">
        <v>0.0</v>
      </c>
      <c r="Q17" s="145"/>
      <c r="R17" s="147" t="s">
        <v>32</v>
      </c>
      <c r="S17" s="26"/>
      <c r="T17" s="94"/>
      <c r="U17" s="95"/>
      <c r="V17" s="90">
        <f>(V10*28)*P18</f>
        <v>100.8</v>
      </c>
    </row>
    <row r="18">
      <c r="B18" s="96"/>
      <c r="C18" s="92" t="s">
        <v>43</v>
      </c>
      <c r="D18" s="11"/>
      <c r="E18" s="93">
        <v>0.01</v>
      </c>
      <c r="F18" s="145"/>
      <c r="G18" s="62"/>
      <c r="H18" s="63"/>
      <c r="I18" s="64"/>
      <c r="J18" s="65"/>
      <c r="K18" s="66"/>
      <c r="L18" s="128"/>
      <c r="M18" s="96"/>
      <c r="N18" s="92" t="s">
        <v>43</v>
      </c>
      <c r="O18" s="11"/>
      <c r="P18" s="93">
        <v>0.01</v>
      </c>
      <c r="Q18" s="145"/>
      <c r="R18" s="62"/>
      <c r="S18" s="63"/>
      <c r="T18" s="64"/>
      <c r="U18" s="65"/>
      <c r="V18" s="66"/>
    </row>
    <row r="19">
      <c r="F19" s="129"/>
      <c r="G19" s="61"/>
      <c r="L19" s="128"/>
      <c r="Q19" s="129"/>
      <c r="R19" s="61"/>
    </row>
    <row r="20">
      <c r="B20" s="148" t="s">
        <v>44</v>
      </c>
      <c r="C20" s="3"/>
      <c r="D20" s="3"/>
      <c r="E20" s="3"/>
      <c r="F20" s="3"/>
      <c r="G20" s="3"/>
      <c r="H20" s="3"/>
      <c r="I20" s="3"/>
      <c r="J20" s="3"/>
      <c r="K20" s="4"/>
      <c r="L20" s="128"/>
      <c r="M20" s="67" t="s">
        <v>25</v>
      </c>
    </row>
    <row r="21">
      <c r="B21" s="5"/>
      <c r="C21" s="6"/>
      <c r="D21" s="6"/>
      <c r="E21" s="6"/>
      <c r="F21" s="6"/>
      <c r="G21" s="6"/>
      <c r="H21" s="6"/>
      <c r="I21" s="6"/>
      <c r="J21" s="6"/>
      <c r="K21" s="7"/>
      <c r="L21" s="128"/>
    </row>
    <row r="22">
      <c r="F22" s="129"/>
      <c r="G22" s="8"/>
      <c r="L22" s="128"/>
      <c r="Q22" s="129"/>
      <c r="R22" s="149"/>
    </row>
    <row r="23"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4"/>
      <c r="L23" s="128"/>
      <c r="Q23" s="129"/>
      <c r="R23" s="149"/>
    </row>
    <row r="24">
      <c r="B24" s="5"/>
      <c r="C24" s="6"/>
      <c r="D24" s="6"/>
      <c r="E24" s="6"/>
      <c r="F24" s="6"/>
      <c r="G24" s="6"/>
      <c r="H24" s="6"/>
      <c r="I24" s="6"/>
      <c r="J24" s="6"/>
      <c r="K24" s="7"/>
      <c r="L24" s="128"/>
      <c r="Q24" s="129"/>
      <c r="R24" s="149"/>
    </row>
    <row r="25">
      <c r="F25" s="129"/>
      <c r="G25" s="8"/>
      <c r="L25" s="128"/>
      <c r="Q25" s="129"/>
      <c r="R25" s="149" t="s">
        <v>45</v>
      </c>
    </row>
    <row r="26">
      <c r="B26" s="9" t="s">
        <v>26</v>
      </c>
      <c r="C26" s="10"/>
      <c r="D26" s="10"/>
      <c r="E26" s="11"/>
      <c r="F26" s="128"/>
      <c r="G26" s="72" t="s">
        <v>46</v>
      </c>
      <c r="H26" s="10"/>
      <c r="I26" s="12" t="s">
        <v>2</v>
      </c>
      <c r="J26" s="13" t="s">
        <v>3</v>
      </c>
      <c r="K26" s="14" t="s">
        <v>4</v>
      </c>
      <c r="L26" s="128"/>
      <c r="M26" s="9" t="s">
        <v>26</v>
      </c>
      <c r="N26" s="10"/>
      <c r="O26" s="10"/>
      <c r="P26" s="11"/>
      <c r="Q26" s="128"/>
      <c r="R26" s="72" t="s">
        <v>47</v>
      </c>
      <c r="S26" s="10"/>
      <c r="T26" s="12" t="s">
        <v>2</v>
      </c>
      <c r="U26" s="13" t="s">
        <v>3</v>
      </c>
      <c r="V26" s="14" t="s">
        <v>4</v>
      </c>
    </row>
    <row r="27">
      <c r="B27" s="15">
        <v>1.0</v>
      </c>
      <c r="C27" s="16" t="s">
        <v>5</v>
      </c>
      <c r="D27" s="11"/>
      <c r="E27" s="130">
        <v>100.0</v>
      </c>
      <c r="F27" s="128"/>
      <c r="G27" s="17" t="s">
        <v>6</v>
      </c>
      <c r="H27" s="18"/>
      <c r="I27" s="19">
        <f>E27</f>
        <v>100</v>
      </c>
      <c r="J27" s="20"/>
      <c r="K27" s="21"/>
      <c r="L27" s="128"/>
      <c r="M27" s="15">
        <v>1.0</v>
      </c>
      <c r="N27" s="16" t="s">
        <v>5</v>
      </c>
      <c r="O27" s="11"/>
      <c r="P27" s="130">
        <v>187.0</v>
      </c>
      <c r="Q27" s="128"/>
      <c r="R27" s="17" t="s">
        <v>6</v>
      </c>
      <c r="S27" s="18"/>
      <c r="T27" s="19">
        <f>P27</f>
        <v>187</v>
      </c>
      <c r="U27" s="20"/>
      <c r="V27" s="21"/>
    </row>
    <row r="28">
      <c r="B28" s="22">
        <v>2.0</v>
      </c>
      <c r="C28" s="23" t="s">
        <v>7</v>
      </c>
      <c r="D28" s="11"/>
      <c r="E28" s="131">
        <v>0.85</v>
      </c>
      <c r="F28" s="150">
        <v>0.5</v>
      </c>
      <c r="G28" s="25" t="s">
        <v>8</v>
      </c>
      <c r="H28" s="26"/>
      <c r="I28" s="27">
        <f t="shared" ref="I28:I29" si="7">I27*J28</f>
        <v>85</v>
      </c>
      <c r="J28" s="28">
        <f t="shared" ref="J28:J29" si="8">E28</f>
        <v>0.85</v>
      </c>
      <c r="K28" s="29">
        <f t="shared" ref="K28:K29" si="9">I28+(I28*E30)</f>
        <v>106.25</v>
      </c>
      <c r="L28" s="151">
        <f>K28/I27</f>
        <v>1.0625</v>
      </c>
      <c r="M28" s="22">
        <v>2.0</v>
      </c>
      <c r="N28" s="23" t="s">
        <v>7</v>
      </c>
      <c r="O28" s="11"/>
      <c r="P28" s="131">
        <v>0.7</v>
      </c>
      <c r="Q28" s="150">
        <v>0.5</v>
      </c>
      <c r="R28" s="25" t="s">
        <v>8</v>
      </c>
      <c r="S28" s="26"/>
      <c r="T28" s="27">
        <f t="shared" ref="T28:T29" si="10">T27*U28</f>
        <v>130.9</v>
      </c>
      <c r="U28" s="28">
        <f t="shared" ref="U28:U29" si="11">P28</f>
        <v>0.7</v>
      </c>
      <c r="V28" s="29">
        <f t="shared" ref="V28:V29" si="12">T28+(T28*P30)</f>
        <v>150.535</v>
      </c>
      <c r="W28" s="75">
        <f>V28/T27</f>
        <v>0.805</v>
      </c>
    </row>
    <row r="29">
      <c r="B29" s="30">
        <v>3.0</v>
      </c>
      <c r="C29" s="31" t="s">
        <v>9</v>
      </c>
      <c r="D29" s="11"/>
      <c r="E29" s="134">
        <v>0.65</v>
      </c>
      <c r="F29" s="135" t="s">
        <v>36</v>
      </c>
      <c r="G29" s="25" t="s">
        <v>10</v>
      </c>
      <c r="H29" s="26"/>
      <c r="I29" s="33">
        <f t="shared" si="7"/>
        <v>55.25</v>
      </c>
      <c r="J29" s="34">
        <f t="shared" si="8"/>
        <v>0.65</v>
      </c>
      <c r="K29" s="35">
        <f t="shared" si="9"/>
        <v>71.825</v>
      </c>
      <c r="L29" s="151">
        <f>K29/K28</f>
        <v>0.676</v>
      </c>
      <c r="M29" s="30">
        <v>3.0</v>
      </c>
      <c r="N29" s="31" t="s">
        <v>9</v>
      </c>
      <c r="O29" s="11"/>
      <c r="P29" s="134">
        <v>0.55</v>
      </c>
      <c r="Q29" s="135" t="s">
        <v>42</v>
      </c>
      <c r="R29" s="25" t="s">
        <v>10</v>
      </c>
      <c r="S29" s="26"/>
      <c r="T29" s="33">
        <f t="shared" si="10"/>
        <v>71.995</v>
      </c>
      <c r="U29" s="34">
        <f t="shared" si="11"/>
        <v>0.55</v>
      </c>
      <c r="V29" s="35">
        <f t="shared" si="12"/>
        <v>89.99375</v>
      </c>
      <c r="W29" s="75">
        <f>V29/V28</f>
        <v>0.597826087</v>
      </c>
    </row>
    <row r="30">
      <c r="B30" s="36">
        <v>4.0</v>
      </c>
      <c r="C30" s="37" t="s">
        <v>11</v>
      </c>
      <c r="D30" s="11"/>
      <c r="E30" s="136">
        <v>0.25</v>
      </c>
      <c r="F30" s="128"/>
      <c r="G30" s="25" t="s">
        <v>12</v>
      </c>
      <c r="H30" s="26"/>
      <c r="I30" s="39">
        <f>E32</f>
        <v>50</v>
      </c>
      <c r="J30" s="40">
        <f>E33</f>
        <v>0.2</v>
      </c>
      <c r="K30" s="41">
        <f>I30+(I30*E33)</f>
        <v>60</v>
      </c>
      <c r="L30" s="152"/>
      <c r="M30" s="36">
        <v>4.0</v>
      </c>
      <c r="N30" s="37" t="s">
        <v>11</v>
      </c>
      <c r="O30" s="11"/>
      <c r="P30" s="136">
        <v>0.15</v>
      </c>
      <c r="Q30" s="128"/>
      <c r="R30" s="25" t="s">
        <v>12</v>
      </c>
      <c r="S30" s="26"/>
      <c r="T30" s="39">
        <f>P32</f>
        <v>50</v>
      </c>
      <c r="U30" s="40">
        <f>P33</f>
        <v>0.25</v>
      </c>
      <c r="V30" s="41">
        <f>T30+(T30*P33)</f>
        <v>62.5</v>
      </c>
    </row>
    <row r="31">
      <c r="B31" s="42">
        <v>5.0</v>
      </c>
      <c r="C31" s="43" t="s">
        <v>13</v>
      </c>
      <c r="D31" s="11"/>
      <c r="E31" s="138">
        <v>0.3</v>
      </c>
      <c r="F31" s="128"/>
      <c r="G31" s="25" t="s">
        <v>14</v>
      </c>
      <c r="H31" s="26"/>
      <c r="I31" s="45">
        <f>E34</f>
        <v>2727</v>
      </c>
      <c r="J31" s="46">
        <f>E35</f>
        <v>0.2</v>
      </c>
      <c r="K31" s="47">
        <f>I31+(I31*J31)</f>
        <v>3272.4</v>
      </c>
      <c r="L31" s="139">
        <f>3272/3</f>
        <v>1090.666667</v>
      </c>
      <c r="M31" s="42">
        <v>5.0</v>
      </c>
      <c r="N31" s="43" t="s">
        <v>13</v>
      </c>
      <c r="O31" s="11"/>
      <c r="P31" s="138">
        <v>0.25</v>
      </c>
      <c r="Q31" s="128"/>
      <c r="R31" s="25" t="s">
        <v>14</v>
      </c>
      <c r="S31" s="26"/>
      <c r="T31" s="45">
        <f>P34</f>
        <v>480</v>
      </c>
      <c r="U31" s="46">
        <f>P35</f>
        <v>0.2</v>
      </c>
      <c r="V31" s="47">
        <f>T31+(T31*U31)</f>
        <v>576</v>
      </c>
      <c r="W31" s="78">
        <f>576/3</f>
        <v>192</v>
      </c>
    </row>
    <row r="32">
      <c r="B32" s="48">
        <v>6.0</v>
      </c>
      <c r="C32" s="49" t="s">
        <v>15</v>
      </c>
      <c r="D32" s="11"/>
      <c r="E32" s="140">
        <v>50.0</v>
      </c>
      <c r="F32" s="128"/>
      <c r="G32" s="25" t="s">
        <v>16</v>
      </c>
      <c r="H32" s="26"/>
      <c r="I32" s="45">
        <f>IFERROR(I28/E36,0)</f>
        <v>17</v>
      </c>
      <c r="J32" s="51"/>
      <c r="K32" s="47">
        <f>IFERROR(K28/K34,0)</f>
        <v>16.34615385</v>
      </c>
      <c r="L32" s="128"/>
      <c r="M32" s="48">
        <v>6.0</v>
      </c>
      <c r="N32" s="49" t="s">
        <v>15</v>
      </c>
      <c r="O32" s="11"/>
      <c r="P32" s="140">
        <v>50.0</v>
      </c>
      <c r="Q32" s="128"/>
      <c r="R32" s="25" t="s">
        <v>16</v>
      </c>
      <c r="S32" s="26"/>
      <c r="T32" s="45">
        <f>IFERROR(T28/P36,0)</f>
        <v>32.725</v>
      </c>
      <c r="U32" s="51"/>
      <c r="V32" s="47">
        <f>IFERROR(V28/V34,0)</f>
        <v>28.94903846</v>
      </c>
    </row>
    <row r="33">
      <c r="B33" s="48">
        <v>7.0</v>
      </c>
      <c r="C33" s="49" t="s">
        <v>17</v>
      </c>
      <c r="D33" s="11"/>
      <c r="E33" s="141">
        <v>0.2</v>
      </c>
      <c r="F33" s="128"/>
      <c r="G33" s="25" t="s">
        <v>18</v>
      </c>
      <c r="H33" s="26"/>
      <c r="I33" s="53">
        <f>IFERROR(I31/I29,0)</f>
        <v>49.35746606</v>
      </c>
      <c r="J33" s="51"/>
      <c r="K33" s="54">
        <f>IFERROR(K31/K29,0)</f>
        <v>45.5607379</v>
      </c>
      <c r="L33" s="128"/>
      <c r="M33" s="48">
        <v>7.0</v>
      </c>
      <c r="N33" s="49" t="s">
        <v>17</v>
      </c>
      <c r="O33" s="11"/>
      <c r="P33" s="141">
        <v>0.25</v>
      </c>
      <c r="Q33" s="128"/>
      <c r="R33" s="25" t="s">
        <v>18</v>
      </c>
      <c r="S33" s="26"/>
      <c r="T33" s="53">
        <f>IFERROR(T31/T29,0)</f>
        <v>6.667129662</v>
      </c>
      <c r="U33" s="51"/>
      <c r="V33" s="54">
        <f>IFERROR(V31/V29,0)</f>
        <v>6.400444475</v>
      </c>
    </row>
    <row r="34">
      <c r="B34" s="55">
        <v>8.0</v>
      </c>
      <c r="C34" s="56" t="s">
        <v>19</v>
      </c>
      <c r="D34" s="11"/>
      <c r="E34" s="142">
        <f>909*3</f>
        <v>2727</v>
      </c>
      <c r="F34" s="143">
        <v>909.0</v>
      </c>
      <c r="G34" s="25" t="s">
        <v>20</v>
      </c>
      <c r="H34" s="26"/>
      <c r="I34" s="59"/>
      <c r="J34" s="51"/>
      <c r="K34" s="47">
        <f>E36+(E36*E37)</f>
        <v>6.5</v>
      </c>
      <c r="L34" s="128"/>
      <c r="M34" s="55">
        <v>8.0</v>
      </c>
      <c r="N34" s="56" t="s">
        <v>19</v>
      </c>
      <c r="O34" s="11"/>
      <c r="P34" s="142">
        <f>160*3</f>
        <v>480</v>
      </c>
      <c r="Q34" s="128" t="s">
        <v>48</v>
      </c>
      <c r="R34" s="25" t="s">
        <v>20</v>
      </c>
      <c r="S34" s="26"/>
      <c r="T34" s="59"/>
      <c r="U34" s="51"/>
      <c r="V34" s="47">
        <f>P36+(P36*P37)</f>
        <v>5.2</v>
      </c>
    </row>
    <row r="35">
      <c r="B35" s="55">
        <v>9.0</v>
      </c>
      <c r="C35" s="56" t="s">
        <v>21</v>
      </c>
      <c r="D35" s="11"/>
      <c r="E35" s="144">
        <v>0.2</v>
      </c>
      <c r="F35" s="145"/>
      <c r="G35" s="25" t="s">
        <v>22</v>
      </c>
      <c r="H35" s="26"/>
      <c r="I35" s="45">
        <f>IFERROR(I31/E36,0)</f>
        <v>545.4</v>
      </c>
      <c r="J35" s="51"/>
      <c r="K35" s="47">
        <f>IFERROR(K31/K34,0)</f>
        <v>503.4461538</v>
      </c>
      <c r="L35" s="128"/>
      <c r="M35" s="55">
        <v>9.0</v>
      </c>
      <c r="N35" s="56" t="s">
        <v>21</v>
      </c>
      <c r="O35" s="11"/>
      <c r="P35" s="144">
        <v>0.2</v>
      </c>
      <c r="Q35" s="145"/>
      <c r="R35" s="25" t="s">
        <v>22</v>
      </c>
      <c r="S35" s="26"/>
      <c r="T35" s="45">
        <f>IFERROR(T31/P36,0)</f>
        <v>120</v>
      </c>
      <c r="U35" s="51"/>
      <c r="V35" s="47">
        <f>IFERROR(V31/V34,0)</f>
        <v>110.7692308</v>
      </c>
    </row>
    <row r="36">
      <c r="B36" s="55">
        <v>10.0</v>
      </c>
      <c r="C36" s="56" t="s">
        <v>23</v>
      </c>
      <c r="D36" s="11"/>
      <c r="E36" s="142">
        <v>5.0</v>
      </c>
      <c r="F36" s="145"/>
      <c r="G36" s="25"/>
      <c r="H36" s="26"/>
      <c r="I36" s="59"/>
      <c r="J36" s="51"/>
      <c r="K36" s="146"/>
      <c r="L36" s="128"/>
      <c r="M36" s="55">
        <v>10.0</v>
      </c>
      <c r="N36" s="56" t="s">
        <v>23</v>
      </c>
      <c r="O36" s="11"/>
      <c r="P36" s="142">
        <v>4.0</v>
      </c>
      <c r="Q36" s="145"/>
      <c r="R36" s="25"/>
      <c r="S36" s="26"/>
      <c r="T36" s="59"/>
      <c r="U36" s="51"/>
      <c r="V36" s="146"/>
    </row>
    <row r="37">
      <c r="B37" s="55">
        <v>11.0</v>
      </c>
      <c r="C37" s="56" t="s">
        <v>24</v>
      </c>
      <c r="D37" s="11"/>
      <c r="E37" s="144">
        <v>0.3</v>
      </c>
      <c r="F37" s="145"/>
      <c r="G37" s="147" t="s">
        <v>30</v>
      </c>
      <c r="H37" s="26"/>
      <c r="I37" s="88"/>
      <c r="J37" s="89"/>
      <c r="K37" s="90">
        <f>(K31*28)*E38</f>
        <v>18325.44</v>
      </c>
      <c r="L37" s="128"/>
      <c r="M37" s="55">
        <v>11.0</v>
      </c>
      <c r="N37" s="56" t="s">
        <v>24</v>
      </c>
      <c r="O37" s="11"/>
      <c r="P37" s="144">
        <v>0.3</v>
      </c>
      <c r="Q37" s="145"/>
      <c r="R37" s="147" t="s">
        <v>30</v>
      </c>
      <c r="S37" s="26"/>
      <c r="T37" s="88"/>
      <c r="U37" s="89"/>
      <c r="V37" s="90">
        <f>(V31*28)*P38</f>
        <v>0</v>
      </c>
    </row>
    <row r="38">
      <c r="B38" s="91">
        <v>12.0</v>
      </c>
      <c r="C38" s="92" t="s">
        <v>31</v>
      </c>
      <c r="D38" s="11"/>
      <c r="E38" s="93">
        <v>0.2</v>
      </c>
      <c r="F38" s="145"/>
      <c r="G38" s="147" t="s">
        <v>32</v>
      </c>
      <c r="H38" s="26"/>
      <c r="I38" s="94"/>
      <c r="J38" s="95"/>
      <c r="K38" s="90">
        <f>(K31*28)*E39</f>
        <v>916.272</v>
      </c>
      <c r="L38" s="128"/>
      <c r="M38" s="91">
        <v>12.0</v>
      </c>
      <c r="N38" s="92" t="s">
        <v>31</v>
      </c>
      <c r="O38" s="11"/>
      <c r="P38" s="93">
        <v>0.0</v>
      </c>
      <c r="Q38" s="145"/>
      <c r="R38" s="147" t="s">
        <v>32</v>
      </c>
      <c r="S38" s="26"/>
      <c r="T38" s="94"/>
      <c r="U38" s="95"/>
      <c r="V38" s="90">
        <f>(V31*28)*P39</f>
        <v>161.28</v>
      </c>
    </row>
    <row r="39">
      <c r="B39" s="96"/>
      <c r="C39" s="92" t="s">
        <v>43</v>
      </c>
      <c r="D39" s="11"/>
      <c r="E39" s="93">
        <v>0.01</v>
      </c>
      <c r="F39" s="145"/>
      <c r="G39" s="62"/>
      <c r="H39" s="63"/>
      <c r="I39" s="64"/>
      <c r="J39" s="65"/>
      <c r="K39" s="66"/>
      <c r="L39" s="128"/>
      <c r="M39" s="96"/>
      <c r="N39" s="92" t="s">
        <v>43</v>
      </c>
      <c r="O39" s="11"/>
      <c r="P39" s="93">
        <v>0.01</v>
      </c>
      <c r="Q39" s="145"/>
      <c r="R39" s="62"/>
      <c r="S39" s="63"/>
      <c r="T39" s="64"/>
      <c r="U39" s="65"/>
      <c r="V39" s="66"/>
    </row>
    <row r="40">
      <c r="F40" s="129"/>
      <c r="G40" s="61"/>
      <c r="L40" s="128"/>
      <c r="Q40" s="129"/>
      <c r="R40" s="61"/>
    </row>
    <row r="41">
      <c r="B41" s="148" t="s">
        <v>49</v>
      </c>
      <c r="C41" s="3"/>
      <c r="D41" s="3"/>
      <c r="E41" s="3"/>
      <c r="F41" s="3"/>
      <c r="G41" s="3"/>
      <c r="H41" s="3"/>
      <c r="I41" s="3"/>
      <c r="J41" s="3"/>
      <c r="K41" s="4"/>
      <c r="L41" s="128"/>
      <c r="M41" s="67" t="s">
        <v>25</v>
      </c>
    </row>
    <row r="42">
      <c r="B42" s="5"/>
      <c r="C42" s="6"/>
      <c r="D42" s="6"/>
      <c r="E42" s="6"/>
      <c r="F42" s="6"/>
      <c r="G42" s="6"/>
      <c r="H42" s="6"/>
      <c r="I42" s="6"/>
      <c r="J42" s="6"/>
      <c r="K42" s="7"/>
      <c r="L42" s="128"/>
    </row>
    <row r="43">
      <c r="B43" s="8"/>
      <c r="C43" s="8"/>
      <c r="D43" s="8"/>
      <c r="E43" s="8"/>
      <c r="F43" s="129"/>
      <c r="G43" s="8"/>
      <c r="L43" s="128"/>
      <c r="M43" s="8"/>
      <c r="N43" s="8"/>
      <c r="O43" s="8"/>
      <c r="P43" s="8"/>
      <c r="Q43" s="129"/>
      <c r="R43" s="8"/>
    </row>
    <row r="44">
      <c r="B44" s="2" t="s">
        <v>0</v>
      </c>
      <c r="C44" s="3"/>
      <c r="D44" s="3"/>
      <c r="E44" s="3"/>
      <c r="F44" s="3"/>
      <c r="G44" s="3"/>
      <c r="H44" s="3"/>
      <c r="I44" s="3"/>
      <c r="J44" s="3"/>
      <c r="K44" s="4"/>
      <c r="L44" s="128"/>
      <c r="M44" s="2" t="s">
        <v>0</v>
      </c>
      <c r="N44" s="3"/>
      <c r="O44" s="3"/>
      <c r="P44" s="3"/>
      <c r="Q44" s="3"/>
      <c r="R44" s="3"/>
      <c r="S44" s="3"/>
      <c r="T44" s="3"/>
      <c r="U44" s="3"/>
      <c r="V44" s="4"/>
    </row>
    <row r="45">
      <c r="B45" s="5"/>
      <c r="C45" s="6"/>
      <c r="D45" s="6"/>
      <c r="E45" s="6"/>
      <c r="F45" s="6"/>
      <c r="G45" s="6"/>
      <c r="H45" s="6"/>
      <c r="I45" s="6"/>
      <c r="J45" s="6"/>
      <c r="K45" s="7"/>
      <c r="L45" s="128"/>
      <c r="M45" s="5"/>
      <c r="N45" s="6"/>
      <c r="O45" s="6"/>
      <c r="P45" s="6"/>
      <c r="Q45" s="6"/>
      <c r="R45" s="6"/>
      <c r="S45" s="6"/>
      <c r="T45" s="6"/>
      <c r="U45" s="6"/>
      <c r="V45" s="7"/>
    </row>
    <row r="46">
      <c r="B46" s="8"/>
      <c r="C46" s="8"/>
      <c r="D46" s="8"/>
      <c r="E46" s="8"/>
      <c r="F46" s="129"/>
      <c r="G46" s="8"/>
      <c r="L46" s="128"/>
      <c r="M46" s="8"/>
      <c r="N46" s="8"/>
      <c r="O46" s="8"/>
      <c r="P46" s="8"/>
      <c r="Q46" s="129"/>
      <c r="R46" s="8"/>
    </row>
    <row r="47">
      <c r="B47" s="9" t="s">
        <v>26</v>
      </c>
      <c r="C47" s="10"/>
      <c r="D47" s="10"/>
      <c r="E47" s="11"/>
      <c r="F47" s="128"/>
      <c r="G47" s="72" t="s">
        <v>50</v>
      </c>
      <c r="H47" s="10"/>
      <c r="I47" s="12" t="s">
        <v>2</v>
      </c>
      <c r="J47" s="13" t="s">
        <v>3</v>
      </c>
      <c r="K47" s="14" t="s">
        <v>4</v>
      </c>
      <c r="L47" s="128"/>
      <c r="M47" s="9" t="s">
        <v>26</v>
      </c>
      <c r="N47" s="10"/>
      <c r="O47" s="10"/>
      <c r="P47" s="11"/>
      <c r="Q47" s="128"/>
      <c r="R47" s="72" t="s">
        <v>51</v>
      </c>
      <c r="S47" s="10"/>
      <c r="T47" s="12" t="s">
        <v>2</v>
      </c>
      <c r="U47" s="13" t="s">
        <v>3</v>
      </c>
      <c r="V47" s="14" t="s">
        <v>4</v>
      </c>
    </row>
    <row r="48">
      <c r="B48" s="15">
        <v>1.0</v>
      </c>
      <c r="C48" s="16" t="s">
        <v>5</v>
      </c>
      <c r="D48" s="11"/>
      <c r="E48" s="130">
        <v>441.0</v>
      </c>
      <c r="F48" s="128"/>
      <c r="G48" s="17" t="s">
        <v>6</v>
      </c>
      <c r="H48" s="18"/>
      <c r="I48" s="19">
        <f>E48</f>
        <v>441</v>
      </c>
      <c r="J48" s="20"/>
      <c r="K48" s="21"/>
      <c r="L48" s="128"/>
      <c r="M48" s="15">
        <v>1.0</v>
      </c>
      <c r="N48" s="16" t="s">
        <v>5</v>
      </c>
      <c r="O48" s="11"/>
      <c r="P48" s="130">
        <v>187.0</v>
      </c>
      <c r="Q48" s="128"/>
      <c r="R48" s="17" t="s">
        <v>6</v>
      </c>
      <c r="S48" s="18"/>
      <c r="T48" s="19">
        <f>P48</f>
        <v>187</v>
      </c>
      <c r="U48" s="20"/>
      <c r="V48" s="21"/>
    </row>
    <row r="49">
      <c r="B49" s="22">
        <v>2.0</v>
      </c>
      <c r="C49" s="23" t="s">
        <v>7</v>
      </c>
      <c r="D49" s="11"/>
      <c r="E49" s="131">
        <v>0.7</v>
      </c>
      <c r="F49" s="150">
        <v>0.85</v>
      </c>
      <c r="G49" s="25" t="s">
        <v>8</v>
      </c>
      <c r="H49" s="26"/>
      <c r="I49" s="27">
        <f t="shared" ref="I49:I50" si="13">I48*J49</f>
        <v>308.7</v>
      </c>
      <c r="J49" s="28">
        <f t="shared" ref="J49:J50" si="14">E49</f>
        <v>0.7</v>
      </c>
      <c r="K49" s="29">
        <f t="shared" ref="K49:K50" si="15">I49+(I49*E51)</f>
        <v>370.44</v>
      </c>
      <c r="L49" s="153">
        <f>K49/I48</f>
        <v>0.84</v>
      </c>
      <c r="M49" s="22">
        <v>2.0</v>
      </c>
      <c r="N49" s="23" t="s">
        <v>7</v>
      </c>
      <c r="O49" s="11"/>
      <c r="P49" s="131">
        <v>0.6</v>
      </c>
      <c r="Q49" s="150">
        <v>0.8</v>
      </c>
      <c r="R49" s="25" t="s">
        <v>8</v>
      </c>
      <c r="S49" s="26"/>
      <c r="T49" s="27">
        <f t="shared" ref="T49:T50" si="16">T48*U49</f>
        <v>112.2</v>
      </c>
      <c r="U49" s="28">
        <f t="shared" ref="U49:U50" si="17">P49</f>
        <v>0.6</v>
      </c>
      <c r="V49" s="29">
        <f t="shared" ref="V49:V50" si="18">T49+(T49*P51)</f>
        <v>134.64</v>
      </c>
      <c r="W49" s="75">
        <f>V49/T48</f>
        <v>0.72</v>
      </c>
    </row>
    <row r="50">
      <c r="B50" s="30">
        <v>3.0</v>
      </c>
      <c r="C50" s="31" t="s">
        <v>9</v>
      </c>
      <c r="D50" s="11"/>
      <c r="E50" s="134">
        <v>0.37</v>
      </c>
      <c r="F50" s="135" t="s">
        <v>36</v>
      </c>
      <c r="G50" s="25" t="s">
        <v>10</v>
      </c>
      <c r="H50" s="26"/>
      <c r="I50" s="33">
        <f t="shared" si="13"/>
        <v>114.219</v>
      </c>
      <c r="J50" s="34">
        <f t="shared" si="14"/>
        <v>0.37</v>
      </c>
      <c r="K50" s="35">
        <f t="shared" si="15"/>
        <v>179.32383</v>
      </c>
      <c r="L50" s="153">
        <f>K50/K49</f>
        <v>0.4840833333</v>
      </c>
      <c r="M50" s="30">
        <v>3.0</v>
      </c>
      <c r="N50" s="31" t="s">
        <v>9</v>
      </c>
      <c r="O50" s="11"/>
      <c r="P50" s="134">
        <v>0.3</v>
      </c>
      <c r="Q50" s="154" t="s">
        <v>42</v>
      </c>
      <c r="R50" s="25" t="s">
        <v>10</v>
      </c>
      <c r="S50" s="26"/>
      <c r="T50" s="33">
        <f t="shared" si="16"/>
        <v>33.66</v>
      </c>
      <c r="U50" s="34">
        <f t="shared" si="17"/>
        <v>0.3</v>
      </c>
      <c r="V50" s="35">
        <f t="shared" si="18"/>
        <v>43.758</v>
      </c>
      <c r="W50" s="75">
        <f>V50/V49</f>
        <v>0.325</v>
      </c>
    </row>
    <row r="51">
      <c r="B51" s="36">
        <v>4.0</v>
      </c>
      <c r="C51" s="37" t="s">
        <v>11</v>
      </c>
      <c r="D51" s="11"/>
      <c r="E51" s="136">
        <v>0.2</v>
      </c>
      <c r="F51" s="128"/>
      <c r="G51" s="25" t="s">
        <v>12</v>
      </c>
      <c r="H51" s="26"/>
      <c r="I51" s="39">
        <f>E53</f>
        <v>60</v>
      </c>
      <c r="J51" s="40">
        <f>E54</f>
        <v>0.2</v>
      </c>
      <c r="K51" s="41">
        <f>I51+(I51*E54)</f>
        <v>72</v>
      </c>
      <c r="L51" s="128"/>
      <c r="M51" s="36">
        <v>4.0</v>
      </c>
      <c r="N51" s="37" t="s">
        <v>11</v>
      </c>
      <c r="O51" s="11"/>
      <c r="P51" s="136">
        <v>0.2</v>
      </c>
      <c r="Q51" s="137"/>
      <c r="R51" s="25" t="s">
        <v>12</v>
      </c>
      <c r="S51" s="26"/>
      <c r="T51" s="39">
        <f>P53</f>
        <v>50</v>
      </c>
      <c r="U51" s="40">
        <f>P54</f>
        <v>0.2</v>
      </c>
      <c r="V51" s="41">
        <f>T51+(T51*P54)</f>
        <v>60</v>
      </c>
    </row>
    <row r="52">
      <c r="B52" s="42">
        <v>5.0</v>
      </c>
      <c r="C52" s="43" t="s">
        <v>13</v>
      </c>
      <c r="D52" s="11"/>
      <c r="E52" s="138">
        <v>0.57</v>
      </c>
      <c r="F52" s="128"/>
      <c r="G52" s="25" t="s">
        <v>14</v>
      </c>
      <c r="H52" s="26"/>
      <c r="I52" s="45">
        <f>E55</f>
        <v>2250</v>
      </c>
      <c r="J52" s="46">
        <f>E56</f>
        <v>0.2</v>
      </c>
      <c r="K52" s="47">
        <f>I52+(I52*J52)</f>
        <v>2700</v>
      </c>
      <c r="L52" s="139">
        <f>K52/3</f>
        <v>900</v>
      </c>
      <c r="M52" s="42">
        <v>5.0</v>
      </c>
      <c r="N52" s="43" t="s">
        <v>13</v>
      </c>
      <c r="O52" s="11"/>
      <c r="P52" s="138">
        <v>0.3</v>
      </c>
      <c r="Q52" s="137"/>
      <c r="R52" s="25" t="s">
        <v>14</v>
      </c>
      <c r="S52" s="26"/>
      <c r="T52" s="45">
        <f>P55</f>
        <v>1950</v>
      </c>
      <c r="U52" s="46">
        <f>P56</f>
        <v>0.2</v>
      </c>
      <c r="V52" s="47">
        <f>T52+(T52*U52)</f>
        <v>2340</v>
      </c>
      <c r="W52" s="155">
        <f>V52/3</f>
        <v>780</v>
      </c>
    </row>
    <row r="53">
      <c r="B53" s="48">
        <v>6.0</v>
      </c>
      <c r="C53" s="49" t="s">
        <v>15</v>
      </c>
      <c r="D53" s="11"/>
      <c r="E53" s="140">
        <v>60.0</v>
      </c>
      <c r="F53" s="128"/>
      <c r="G53" s="25" t="s">
        <v>16</v>
      </c>
      <c r="H53" s="26"/>
      <c r="I53" s="45">
        <f>IFERROR(I49/E57,0)</f>
        <v>38.5875</v>
      </c>
      <c r="J53" s="51"/>
      <c r="K53" s="47">
        <f>IFERROR(K49/K55,0)</f>
        <v>38.5875</v>
      </c>
      <c r="L53" s="128"/>
      <c r="M53" s="48">
        <v>6.0</v>
      </c>
      <c r="N53" s="49" t="s">
        <v>15</v>
      </c>
      <c r="O53" s="11"/>
      <c r="P53" s="140">
        <v>50.0</v>
      </c>
      <c r="Q53" s="137"/>
      <c r="R53" s="25" t="s">
        <v>16</v>
      </c>
      <c r="S53" s="26"/>
      <c r="T53" s="45">
        <f>IFERROR(T49/P57,0)</f>
        <v>18.7</v>
      </c>
      <c r="U53" s="51"/>
      <c r="V53" s="47">
        <f>IFERROR(V49/V55,0)</f>
        <v>18.7</v>
      </c>
    </row>
    <row r="54">
      <c r="B54" s="48">
        <v>7.0</v>
      </c>
      <c r="C54" s="49" t="s">
        <v>17</v>
      </c>
      <c r="D54" s="11"/>
      <c r="E54" s="141">
        <v>0.2</v>
      </c>
      <c r="F54" s="154">
        <v>620.0</v>
      </c>
      <c r="G54" s="25" t="s">
        <v>18</v>
      </c>
      <c r="H54" s="26"/>
      <c r="I54" s="53">
        <f>IFERROR(I52/I50,0)</f>
        <v>19.69899929</v>
      </c>
      <c r="J54" s="51"/>
      <c r="K54" s="54">
        <f>IFERROR(K52/K50,0)</f>
        <v>15.05655997</v>
      </c>
      <c r="L54" s="128"/>
      <c r="M54" s="48">
        <v>7.0</v>
      </c>
      <c r="N54" s="49" t="s">
        <v>17</v>
      </c>
      <c r="O54" s="11"/>
      <c r="P54" s="141">
        <v>0.2</v>
      </c>
      <c r="Q54" s="137"/>
      <c r="R54" s="25" t="s">
        <v>18</v>
      </c>
      <c r="S54" s="26"/>
      <c r="T54" s="53">
        <f>IFERROR(T52/T50,0)</f>
        <v>57.93226381</v>
      </c>
      <c r="U54" s="51"/>
      <c r="V54" s="54">
        <f>IFERROR(V52/V50,0)</f>
        <v>53.47593583</v>
      </c>
    </row>
    <row r="55">
      <c r="B55" s="55">
        <v>8.0</v>
      </c>
      <c r="C55" s="56" t="s">
        <v>19</v>
      </c>
      <c r="D55" s="11"/>
      <c r="E55" s="142">
        <f>750*3</f>
        <v>2250</v>
      </c>
      <c r="F55" s="143">
        <v>606.0</v>
      </c>
      <c r="G55" s="25" t="s">
        <v>20</v>
      </c>
      <c r="H55" s="26"/>
      <c r="I55" s="59"/>
      <c r="J55" s="51"/>
      <c r="K55" s="47">
        <f>E57+(E57*E58)</f>
        <v>9.6</v>
      </c>
      <c r="L55" s="128"/>
      <c r="M55" s="55">
        <v>8.0</v>
      </c>
      <c r="N55" s="56" t="s">
        <v>19</v>
      </c>
      <c r="O55" s="11"/>
      <c r="P55" s="142">
        <f>650*3</f>
        <v>1950</v>
      </c>
      <c r="Q55" s="143">
        <v>523.0</v>
      </c>
      <c r="R55" s="25" t="s">
        <v>20</v>
      </c>
      <c r="S55" s="26"/>
      <c r="T55" s="59"/>
      <c r="U55" s="51"/>
      <c r="V55" s="47">
        <f>P57+(P57*P58)</f>
        <v>7.2</v>
      </c>
    </row>
    <row r="56">
      <c r="B56" s="55">
        <v>9.0</v>
      </c>
      <c r="C56" s="56" t="s">
        <v>21</v>
      </c>
      <c r="D56" s="11"/>
      <c r="E56" s="144">
        <v>0.2</v>
      </c>
      <c r="F56" s="145"/>
      <c r="G56" s="25" t="s">
        <v>22</v>
      </c>
      <c r="H56" s="26"/>
      <c r="I56" s="45">
        <f>IFERROR(I52/E57,0)</f>
        <v>281.25</v>
      </c>
      <c r="J56" s="51"/>
      <c r="K56" s="47">
        <f>IFERROR(K52/K55,0)</f>
        <v>281.25</v>
      </c>
      <c r="L56" s="128"/>
      <c r="M56" s="55">
        <v>9.0</v>
      </c>
      <c r="N56" s="56" t="s">
        <v>21</v>
      </c>
      <c r="O56" s="11"/>
      <c r="P56" s="144">
        <v>0.2</v>
      </c>
      <c r="Q56" s="156"/>
      <c r="R56" s="25" t="s">
        <v>22</v>
      </c>
      <c r="S56" s="26"/>
      <c r="T56" s="45">
        <f>IFERROR(T52/P57,0)</f>
        <v>325</v>
      </c>
      <c r="U56" s="51"/>
      <c r="V56" s="47">
        <f>IFERROR(V52/V55,0)</f>
        <v>325</v>
      </c>
    </row>
    <row r="57">
      <c r="B57" s="55">
        <v>10.0</v>
      </c>
      <c r="C57" s="56" t="s">
        <v>23</v>
      </c>
      <c r="D57" s="11"/>
      <c r="E57" s="142">
        <v>8.0</v>
      </c>
      <c r="F57" s="145"/>
      <c r="G57" s="25"/>
      <c r="H57" s="26"/>
      <c r="I57" s="59"/>
      <c r="J57" s="51"/>
      <c r="K57" s="146"/>
      <c r="L57" s="128"/>
      <c r="M57" s="55">
        <v>10.0</v>
      </c>
      <c r="N57" s="56" t="s">
        <v>23</v>
      </c>
      <c r="O57" s="11"/>
      <c r="P57" s="142">
        <v>6.0</v>
      </c>
      <c r="Q57" s="156"/>
      <c r="R57" s="25"/>
      <c r="S57" s="26"/>
      <c r="T57" s="59"/>
      <c r="U57" s="51"/>
      <c r="V57" s="146"/>
    </row>
    <row r="58">
      <c r="B58" s="55">
        <v>11.0</v>
      </c>
      <c r="C58" s="56" t="s">
        <v>24</v>
      </c>
      <c r="D58" s="11"/>
      <c r="E58" s="144">
        <v>0.2</v>
      </c>
      <c r="F58" s="145"/>
      <c r="G58" s="147" t="s">
        <v>30</v>
      </c>
      <c r="H58" s="26"/>
      <c r="I58" s="88"/>
      <c r="J58" s="89"/>
      <c r="K58" s="90">
        <f>(K52*28)*E59</f>
        <v>15120</v>
      </c>
      <c r="L58" s="128"/>
      <c r="M58" s="55">
        <v>11.0</v>
      </c>
      <c r="N58" s="56" t="s">
        <v>24</v>
      </c>
      <c r="O58" s="11"/>
      <c r="P58" s="144">
        <v>0.2</v>
      </c>
      <c r="Q58" s="145"/>
      <c r="R58" s="147" t="s">
        <v>30</v>
      </c>
      <c r="S58" s="26"/>
      <c r="T58" s="88"/>
      <c r="U58" s="89"/>
      <c r="V58" s="90">
        <f>(V52*28)*P59</f>
        <v>7862.4</v>
      </c>
    </row>
    <row r="59">
      <c r="B59" s="91">
        <v>12.0</v>
      </c>
      <c r="C59" s="92" t="s">
        <v>31</v>
      </c>
      <c r="D59" s="11"/>
      <c r="E59" s="93">
        <v>0.2</v>
      </c>
      <c r="F59" s="145"/>
      <c r="G59" s="147" t="s">
        <v>32</v>
      </c>
      <c r="H59" s="26"/>
      <c r="I59" s="94"/>
      <c r="J59" s="95"/>
      <c r="K59" s="90">
        <f>(K52*28)*E60</f>
        <v>756</v>
      </c>
      <c r="L59" s="128"/>
      <c r="M59" s="91">
        <v>12.0</v>
      </c>
      <c r="N59" s="92" t="s">
        <v>31</v>
      </c>
      <c r="O59" s="11"/>
      <c r="P59" s="93">
        <v>0.12</v>
      </c>
      <c r="Q59" s="145"/>
      <c r="R59" s="147" t="s">
        <v>32</v>
      </c>
      <c r="S59" s="26"/>
      <c r="T59" s="94"/>
      <c r="U59" s="95"/>
      <c r="V59" s="90">
        <f>(V52*28)*P60</f>
        <v>655.2</v>
      </c>
    </row>
    <row r="60">
      <c r="B60" s="96"/>
      <c r="C60" s="92" t="s">
        <v>43</v>
      </c>
      <c r="D60" s="11"/>
      <c r="E60" s="93">
        <v>0.01</v>
      </c>
      <c r="F60" s="145"/>
      <c r="G60" s="62"/>
      <c r="H60" s="63"/>
      <c r="I60" s="64"/>
      <c r="J60" s="65"/>
      <c r="K60" s="66"/>
      <c r="L60" s="128"/>
      <c r="M60" s="96"/>
      <c r="N60" s="92" t="s">
        <v>43</v>
      </c>
      <c r="O60" s="11"/>
      <c r="P60" s="93">
        <v>0.01</v>
      </c>
      <c r="Q60" s="145"/>
      <c r="R60" s="62"/>
      <c r="S60" s="63"/>
      <c r="T60" s="64"/>
      <c r="U60" s="65"/>
      <c r="V60" s="66"/>
    </row>
    <row r="61">
      <c r="F61" s="129"/>
      <c r="G61" s="61"/>
      <c r="L61" s="128"/>
      <c r="Q61" s="129"/>
      <c r="R61" s="61"/>
    </row>
    <row r="62">
      <c r="B62" s="148" t="s">
        <v>49</v>
      </c>
      <c r="C62" s="3"/>
      <c r="D62" s="3"/>
      <c r="E62" s="3"/>
      <c r="F62" s="3"/>
      <c r="G62" s="3"/>
      <c r="H62" s="3"/>
      <c r="I62" s="3"/>
      <c r="J62" s="3"/>
      <c r="K62" s="4"/>
      <c r="L62" s="128"/>
      <c r="M62" s="67" t="s">
        <v>25</v>
      </c>
    </row>
    <row r="63">
      <c r="B63" s="5"/>
      <c r="C63" s="6"/>
      <c r="D63" s="6"/>
      <c r="E63" s="6"/>
      <c r="F63" s="6"/>
      <c r="G63" s="6"/>
      <c r="H63" s="6"/>
      <c r="I63" s="6"/>
      <c r="J63" s="6"/>
      <c r="K63" s="7"/>
      <c r="L63" s="128"/>
      <c r="W63" s="157"/>
      <c r="X63" s="157"/>
    </row>
    <row r="64">
      <c r="F64" s="129"/>
      <c r="G64" s="149" t="s">
        <v>45</v>
      </c>
      <c r="L64" s="128"/>
      <c r="Q64" s="129"/>
      <c r="R64" s="8"/>
      <c r="W64" s="157"/>
      <c r="X64" s="157"/>
    </row>
    <row r="65">
      <c r="B65" s="9" t="s">
        <v>26</v>
      </c>
      <c r="C65" s="10"/>
      <c r="D65" s="10"/>
      <c r="E65" s="11"/>
      <c r="F65" s="128"/>
      <c r="G65" s="72" t="s">
        <v>52</v>
      </c>
      <c r="H65" s="10"/>
      <c r="I65" s="12" t="s">
        <v>2</v>
      </c>
      <c r="J65" s="13" t="s">
        <v>3</v>
      </c>
      <c r="K65" s="14" t="s">
        <v>4</v>
      </c>
      <c r="L65" s="128"/>
      <c r="M65" s="9" t="s">
        <v>26</v>
      </c>
      <c r="N65" s="10"/>
      <c r="O65" s="10"/>
      <c r="P65" s="11"/>
      <c r="Q65" s="128"/>
      <c r="R65" s="72" t="s">
        <v>53</v>
      </c>
      <c r="S65" s="10"/>
      <c r="T65" s="12" t="s">
        <v>2</v>
      </c>
      <c r="U65" s="13" t="s">
        <v>3</v>
      </c>
      <c r="V65" s="14" t="s">
        <v>4</v>
      </c>
      <c r="W65" s="157"/>
      <c r="X65" s="157"/>
    </row>
    <row r="66">
      <c r="B66" s="15">
        <v>1.0</v>
      </c>
      <c r="C66" s="16" t="s">
        <v>5</v>
      </c>
      <c r="D66" s="11"/>
      <c r="E66" s="130">
        <v>502.0</v>
      </c>
      <c r="F66" s="128"/>
      <c r="G66" s="17" t="s">
        <v>6</v>
      </c>
      <c r="H66" s="18"/>
      <c r="I66" s="19">
        <f>E66</f>
        <v>502</v>
      </c>
      <c r="J66" s="20"/>
      <c r="K66" s="21"/>
      <c r="L66" s="128"/>
      <c r="M66" s="15">
        <v>1.0</v>
      </c>
      <c r="N66" s="16" t="s">
        <v>5</v>
      </c>
      <c r="O66" s="11"/>
      <c r="P66" s="130">
        <v>805.0</v>
      </c>
      <c r="Q66" s="128"/>
      <c r="R66" s="17" t="s">
        <v>6</v>
      </c>
      <c r="S66" s="18"/>
      <c r="T66" s="19">
        <f>P66</f>
        <v>805</v>
      </c>
      <c r="U66" s="20"/>
      <c r="V66" s="21"/>
      <c r="W66" s="157"/>
      <c r="X66" s="157"/>
    </row>
    <row r="67">
      <c r="B67" s="22">
        <v>2.0</v>
      </c>
      <c r="C67" s="23" t="s">
        <v>7</v>
      </c>
      <c r="D67" s="11"/>
      <c r="E67" s="131">
        <v>0.43</v>
      </c>
      <c r="F67" s="150">
        <v>0.5</v>
      </c>
      <c r="G67" s="25" t="s">
        <v>8</v>
      </c>
      <c r="H67" s="26"/>
      <c r="I67" s="27">
        <f t="shared" ref="I67:I68" si="19">I66*J67</f>
        <v>215.86</v>
      </c>
      <c r="J67" s="28">
        <f t="shared" ref="J67:J68" si="20">E67</f>
        <v>0.43</v>
      </c>
      <c r="K67" s="29">
        <f t="shared" ref="K67:K68" si="21">I67+(I67*E69)</f>
        <v>259.032</v>
      </c>
      <c r="L67" s="153">
        <f>K67/I66</f>
        <v>0.516</v>
      </c>
      <c r="M67" s="22">
        <v>2.0</v>
      </c>
      <c r="N67" s="23" t="s">
        <v>7</v>
      </c>
      <c r="O67" s="11"/>
      <c r="P67" s="131">
        <v>0.7</v>
      </c>
      <c r="Q67" s="150">
        <v>0.7</v>
      </c>
      <c r="R67" s="25" t="s">
        <v>8</v>
      </c>
      <c r="S67" s="26"/>
      <c r="T67" s="27">
        <f t="shared" ref="T67:T68" si="22">T66*U67</f>
        <v>563.5</v>
      </c>
      <c r="U67" s="28">
        <f t="shared" ref="U67:U68" si="23">P67</f>
        <v>0.7</v>
      </c>
      <c r="V67" s="29">
        <f t="shared" ref="V67:V68" si="24">T67+(T67*P69)</f>
        <v>676.2</v>
      </c>
      <c r="W67" s="158">
        <f>V67/T66</f>
        <v>0.84</v>
      </c>
      <c r="X67" s="157"/>
    </row>
    <row r="68">
      <c r="B68" s="30">
        <v>3.0</v>
      </c>
      <c r="C68" s="31" t="s">
        <v>9</v>
      </c>
      <c r="D68" s="11"/>
      <c r="E68" s="134">
        <v>0.38</v>
      </c>
      <c r="F68" s="154" t="s">
        <v>38</v>
      </c>
      <c r="G68" s="25" t="s">
        <v>10</v>
      </c>
      <c r="H68" s="26"/>
      <c r="I68" s="33">
        <f t="shared" si="19"/>
        <v>82.0268</v>
      </c>
      <c r="J68" s="34">
        <f t="shared" si="20"/>
        <v>0.38</v>
      </c>
      <c r="K68" s="35">
        <f t="shared" si="21"/>
        <v>106.63484</v>
      </c>
      <c r="L68" s="153">
        <f>K68/K67</f>
        <v>0.4116666667</v>
      </c>
      <c r="M68" s="30">
        <v>3.0</v>
      </c>
      <c r="N68" s="31" t="s">
        <v>9</v>
      </c>
      <c r="O68" s="11"/>
      <c r="P68" s="134">
        <v>0.4</v>
      </c>
      <c r="Q68" s="154" t="s">
        <v>38</v>
      </c>
      <c r="R68" s="25" t="s">
        <v>10</v>
      </c>
      <c r="S68" s="26"/>
      <c r="T68" s="33">
        <f t="shared" si="22"/>
        <v>225.4</v>
      </c>
      <c r="U68" s="34">
        <f t="shared" si="23"/>
        <v>0.4</v>
      </c>
      <c r="V68" s="35">
        <f t="shared" si="24"/>
        <v>450.8</v>
      </c>
      <c r="W68" s="158">
        <f>V68/V67</f>
        <v>0.6666666667</v>
      </c>
      <c r="X68" s="157"/>
    </row>
    <row r="69">
      <c r="B69" s="36">
        <v>4.0</v>
      </c>
      <c r="C69" s="37" t="s">
        <v>11</v>
      </c>
      <c r="D69" s="11"/>
      <c r="E69" s="136">
        <v>0.2</v>
      </c>
      <c r="F69" s="128"/>
      <c r="G69" s="25" t="s">
        <v>12</v>
      </c>
      <c r="H69" s="26"/>
      <c r="I69" s="39">
        <f>E71</f>
        <v>48</v>
      </c>
      <c r="J69" s="40">
        <f>E72</f>
        <v>0.69</v>
      </c>
      <c r="K69" s="41">
        <f>I69+(I69*E72)</f>
        <v>81.12</v>
      </c>
      <c r="L69" s="128"/>
      <c r="M69" s="36">
        <v>4.0</v>
      </c>
      <c r="N69" s="37" t="s">
        <v>11</v>
      </c>
      <c r="O69" s="11"/>
      <c r="P69" s="136">
        <v>0.2</v>
      </c>
      <c r="Q69" s="128"/>
      <c r="R69" s="25" t="s">
        <v>12</v>
      </c>
      <c r="S69" s="26"/>
      <c r="T69" s="39">
        <f>P71</f>
        <v>65</v>
      </c>
      <c r="U69" s="40">
        <f>P72</f>
        <v>0.25</v>
      </c>
      <c r="V69" s="41">
        <f>T69+(T69*P72)</f>
        <v>81.25</v>
      </c>
      <c r="W69" s="157"/>
      <c r="X69" s="157"/>
    </row>
    <row r="70">
      <c r="B70" s="42">
        <v>5.0</v>
      </c>
      <c r="C70" s="43" t="s">
        <v>13</v>
      </c>
      <c r="D70" s="11"/>
      <c r="E70" s="138">
        <v>0.3</v>
      </c>
      <c r="F70" s="128"/>
      <c r="G70" s="25" t="s">
        <v>14</v>
      </c>
      <c r="H70" s="26"/>
      <c r="I70" s="45">
        <f>E73</f>
        <v>750</v>
      </c>
      <c r="J70" s="46">
        <f>E74</f>
        <v>0.2</v>
      </c>
      <c r="K70" s="47">
        <f>I70+(I70*J70)</f>
        <v>900</v>
      </c>
      <c r="L70" s="128"/>
      <c r="M70" s="42">
        <v>5.0</v>
      </c>
      <c r="N70" s="43" t="s">
        <v>13</v>
      </c>
      <c r="O70" s="11"/>
      <c r="P70" s="138">
        <v>1.0</v>
      </c>
      <c r="Q70" s="128"/>
      <c r="R70" s="25" t="s">
        <v>14</v>
      </c>
      <c r="S70" s="26"/>
      <c r="T70" s="45">
        <f>P73</f>
        <v>16356</v>
      </c>
      <c r="U70" s="46">
        <f>P74</f>
        <v>0.2</v>
      </c>
      <c r="V70" s="47">
        <f>T70+(T70*U70)</f>
        <v>19627.2</v>
      </c>
      <c r="W70" s="139">
        <f>V70/3</f>
        <v>6542.4</v>
      </c>
      <c r="X70" s="157"/>
    </row>
    <row r="71">
      <c r="B71" s="48">
        <v>6.0</v>
      </c>
      <c r="C71" s="49" t="s">
        <v>15</v>
      </c>
      <c r="D71" s="11"/>
      <c r="E71" s="140">
        <v>48.0</v>
      </c>
      <c r="F71" s="128"/>
      <c r="G71" s="25" t="s">
        <v>16</v>
      </c>
      <c r="H71" s="26"/>
      <c r="I71" s="45">
        <f>IFERROR(I67/E75,0)</f>
        <v>35.97666667</v>
      </c>
      <c r="J71" s="51"/>
      <c r="K71" s="47">
        <f>IFERROR(K67/K73,0)</f>
        <v>33.20923077</v>
      </c>
      <c r="L71" s="128"/>
      <c r="M71" s="48">
        <v>6.0</v>
      </c>
      <c r="N71" s="49" t="s">
        <v>15</v>
      </c>
      <c r="O71" s="11"/>
      <c r="P71" s="140">
        <v>65.0</v>
      </c>
      <c r="Q71" s="128"/>
      <c r="R71" s="25" t="s">
        <v>16</v>
      </c>
      <c r="S71" s="26"/>
      <c r="T71" s="45">
        <f>IFERROR(T67/P75,0)</f>
        <v>29.65789474</v>
      </c>
      <c r="U71" s="51"/>
      <c r="V71" s="47">
        <f>IFERROR(V67/V73,0)</f>
        <v>30.94736842</v>
      </c>
      <c r="W71" s="157"/>
      <c r="X71" s="157"/>
    </row>
    <row r="72">
      <c r="B72" s="48">
        <v>7.0</v>
      </c>
      <c r="C72" s="49" t="s">
        <v>17</v>
      </c>
      <c r="D72" s="11"/>
      <c r="E72" s="141">
        <v>0.69</v>
      </c>
      <c r="F72" s="128"/>
      <c r="G72" s="25" t="s">
        <v>18</v>
      </c>
      <c r="H72" s="26"/>
      <c r="I72" s="53">
        <f>IFERROR(I70/I68,0)</f>
        <v>9.143353148</v>
      </c>
      <c r="J72" s="51"/>
      <c r="K72" s="54">
        <f>IFERROR(K70/K68,0)</f>
        <v>8.44001829</v>
      </c>
      <c r="L72" s="128"/>
      <c r="M72" s="48">
        <v>7.0</v>
      </c>
      <c r="N72" s="49" t="s">
        <v>17</v>
      </c>
      <c r="O72" s="11"/>
      <c r="P72" s="141">
        <v>0.25</v>
      </c>
      <c r="Q72" s="128"/>
      <c r="R72" s="25" t="s">
        <v>18</v>
      </c>
      <c r="S72" s="26"/>
      <c r="T72" s="53">
        <f>IFERROR(T70/T68,0)</f>
        <v>72.56433008</v>
      </c>
      <c r="U72" s="51"/>
      <c r="V72" s="54">
        <f>IFERROR(V70/V68,0)</f>
        <v>43.53859805</v>
      </c>
      <c r="W72" s="157"/>
      <c r="X72" s="157"/>
    </row>
    <row r="73">
      <c r="B73" s="55">
        <v>8.0</v>
      </c>
      <c r="C73" s="56" t="s">
        <v>19</v>
      </c>
      <c r="D73" s="11"/>
      <c r="E73" s="142">
        <f>250*3</f>
        <v>750</v>
      </c>
      <c r="F73" s="143">
        <v>279.0</v>
      </c>
      <c r="G73" s="25" t="s">
        <v>20</v>
      </c>
      <c r="H73" s="26"/>
      <c r="I73" s="59"/>
      <c r="J73" s="51"/>
      <c r="K73" s="47">
        <f>E75+(E75*E76)</f>
        <v>7.8</v>
      </c>
      <c r="L73" s="128"/>
      <c r="M73" s="55">
        <v>8.0</v>
      </c>
      <c r="N73" s="56" t="s">
        <v>19</v>
      </c>
      <c r="O73" s="11"/>
      <c r="P73" s="142">
        <f>(3552+1900)*3</f>
        <v>16356</v>
      </c>
      <c r="Q73" s="143">
        <v>3758.0</v>
      </c>
      <c r="R73" s="25" t="s">
        <v>20</v>
      </c>
      <c r="S73" s="26"/>
      <c r="T73" s="59"/>
      <c r="U73" s="51"/>
      <c r="V73" s="47">
        <f>P75+(P75*P76)</f>
        <v>21.85</v>
      </c>
      <c r="W73" s="157"/>
      <c r="X73" s="157"/>
    </row>
    <row r="74">
      <c r="B74" s="55">
        <v>9.0</v>
      </c>
      <c r="C74" s="56" t="s">
        <v>21</v>
      </c>
      <c r="D74" s="11"/>
      <c r="E74" s="144">
        <v>0.2</v>
      </c>
      <c r="F74" s="145"/>
      <c r="G74" s="25" t="s">
        <v>22</v>
      </c>
      <c r="H74" s="26"/>
      <c r="I74" s="45">
        <f>IFERROR(I70/E75,0)</f>
        <v>125</v>
      </c>
      <c r="J74" s="51"/>
      <c r="K74" s="47">
        <f>IFERROR(K70/K73,0)</f>
        <v>115.3846154</v>
      </c>
      <c r="L74" s="128"/>
      <c r="M74" s="55">
        <v>9.0</v>
      </c>
      <c r="N74" s="56" t="s">
        <v>21</v>
      </c>
      <c r="O74" s="11"/>
      <c r="P74" s="144">
        <v>0.2</v>
      </c>
      <c r="Q74" s="145"/>
      <c r="R74" s="25" t="s">
        <v>22</v>
      </c>
      <c r="S74" s="26"/>
      <c r="T74" s="45">
        <f>IFERROR(T70/P75,0)</f>
        <v>860.8421053</v>
      </c>
      <c r="U74" s="51"/>
      <c r="V74" s="47">
        <f>IFERROR(V70/V73,0)</f>
        <v>898.2700229</v>
      </c>
      <c r="W74" s="157"/>
      <c r="X74" s="157"/>
    </row>
    <row r="75">
      <c r="B75" s="55">
        <v>10.0</v>
      </c>
      <c r="C75" s="56" t="s">
        <v>23</v>
      </c>
      <c r="D75" s="11"/>
      <c r="E75" s="142">
        <v>6.0</v>
      </c>
      <c r="F75" s="145"/>
      <c r="G75" s="25"/>
      <c r="H75" s="26"/>
      <c r="I75" s="59"/>
      <c r="J75" s="51"/>
      <c r="K75" s="146"/>
      <c r="L75" s="128"/>
      <c r="M75" s="55">
        <v>10.0</v>
      </c>
      <c r="N75" s="56" t="s">
        <v>23</v>
      </c>
      <c r="O75" s="11"/>
      <c r="P75" s="142">
        <v>19.0</v>
      </c>
      <c r="Q75" s="145"/>
      <c r="R75" s="25"/>
      <c r="S75" s="26"/>
      <c r="T75" s="59"/>
      <c r="U75" s="51"/>
      <c r="V75" s="146"/>
      <c r="W75" s="157"/>
      <c r="X75" s="157"/>
    </row>
    <row r="76">
      <c r="B76" s="55">
        <v>11.0</v>
      </c>
      <c r="C76" s="56" t="s">
        <v>24</v>
      </c>
      <c r="D76" s="11"/>
      <c r="E76" s="144">
        <v>0.3</v>
      </c>
      <c r="F76" s="145"/>
      <c r="G76" s="147" t="s">
        <v>30</v>
      </c>
      <c r="H76" s="26"/>
      <c r="I76" s="88"/>
      <c r="J76" s="89"/>
      <c r="K76" s="90">
        <f>(K70*28)*E77</f>
        <v>0</v>
      </c>
      <c r="L76" s="128"/>
      <c r="M76" s="55">
        <v>11.0</v>
      </c>
      <c r="N76" s="56" t="s">
        <v>24</v>
      </c>
      <c r="O76" s="11"/>
      <c r="P76" s="144">
        <v>0.15</v>
      </c>
      <c r="Q76" s="145"/>
      <c r="R76" s="147" t="s">
        <v>30</v>
      </c>
      <c r="S76" s="26"/>
      <c r="T76" s="88"/>
      <c r="U76" s="89"/>
      <c r="V76" s="90">
        <f>(V70*28)*P77</f>
        <v>98921.088</v>
      </c>
      <c r="W76" s="157"/>
      <c r="X76" s="157"/>
    </row>
    <row r="77">
      <c r="B77" s="91">
        <v>12.0</v>
      </c>
      <c r="C77" s="92" t="s">
        <v>31</v>
      </c>
      <c r="D77" s="11"/>
      <c r="E77" s="93">
        <v>0.0</v>
      </c>
      <c r="F77" s="145"/>
      <c r="G77" s="147" t="s">
        <v>32</v>
      </c>
      <c r="H77" s="26"/>
      <c r="I77" s="94"/>
      <c r="J77" s="95"/>
      <c r="K77" s="90">
        <f>(K70*28)*E78</f>
        <v>252</v>
      </c>
      <c r="L77" s="128"/>
      <c r="M77" s="91">
        <v>12.0</v>
      </c>
      <c r="N77" s="92" t="s">
        <v>31</v>
      </c>
      <c r="O77" s="11"/>
      <c r="P77" s="93">
        <v>0.18</v>
      </c>
      <c r="Q77" s="145"/>
      <c r="R77" s="147" t="s">
        <v>32</v>
      </c>
      <c r="S77" s="26"/>
      <c r="T77" s="94"/>
      <c r="U77" s="95"/>
      <c r="V77" s="90">
        <f>(V70*28)*P78</f>
        <v>5495.616</v>
      </c>
      <c r="W77" s="157"/>
      <c r="X77" s="157"/>
    </row>
    <row r="78">
      <c r="B78" s="96"/>
      <c r="C78" s="92" t="s">
        <v>43</v>
      </c>
      <c r="D78" s="11"/>
      <c r="E78" s="93">
        <v>0.01</v>
      </c>
      <c r="F78" s="145"/>
      <c r="G78" s="62"/>
      <c r="H78" s="63"/>
      <c r="I78" s="64"/>
      <c r="J78" s="65"/>
      <c r="K78" s="66"/>
      <c r="L78" s="128"/>
      <c r="M78" s="96"/>
      <c r="N78" s="92" t="s">
        <v>43</v>
      </c>
      <c r="O78" s="11"/>
      <c r="P78" s="97">
        <v>0.01</v>
      </c>
      <c r="Q78" s="145"/>
      <c r="R78" s="62"/>
      <c r="S78" s="63"/>
      <c r="T78" s="64"/>
      <c r="U78" s="65"/>
      <c r="V78" s="66"/>
      <c r="W78" s="157"/>
      <c r="X78" s="157"/>
    </row>
    <row r="79">
      <c r="F79" s="129"/>
      <c r="G79" s="61"/>
      <c r="L79" s="128"/>
      <c r="Q79" s="129"/>
      <c r="R79" s="61"/>
    </row>
    <row r="80">
      <c r="B80" s="148" t="s">
        <v>25</v>
      </c>
      <c r="C80" s="3"/>
      <c r="D80" s="3"/>
      <c r="E80" s="3"/>
      <c r="F80" s="3"/>
      <c r="G80" s="3"/>
      <c r="H80" s="3"/>
      <c r="I80" s="3"/>
      <c r="J80" s="3"/>
      <c r="K80" s="4"/>
      <c r="L80" s="128"/>
      <c r="M80" s="67" t="s">
        <v>25</v>
      </c>
    </row>
    <row r="81">
      <c r="B81" s="5"/>
      <c r="C81" s="6"/>
      <c r="D81" s="6"/>
      <c r="E81" s="6"/>
      <c r="F81" s="6"/>
      <c r="G81" s="6"/>
      <c r="H81" s="6"/>
      <c r="I81" s="6"/>
      <c r="J81" s="6"/>
      <c r="K81" s="7"/>
      <c r="L81" s="128"/>
    </row>
    <row r="82">
      <c r="B82" s="159"/>
      <c r="C82" s="159"/>
      <c r="D82" s="159"/>
      <c r="E82" s="159"/>
      <c r="F82" s="160"/>
      <c r="G82" s="159"/>
      <c r="H82" s="159"/>
      <c r="I82" s="159"/>
      <c r="J82" s="159"/>
      <c r="K82" s="159"/>
      <c r="L82" s="128"/>
      <c r="M82" s="159"/>
      <c r="N82" s="159"/>
      <c r="O82" s="159"/>
      <c r="P82" s="159"/>
      <c r="Q82" s="160"/>
      <c r="R82" s="159"/>
      <c r="S82" s="159"/>
      <c r="T82" s="159"/>
      <c r="U82" s="159"/>
      <c r="V82" s="159"/>
    </row>
    <row r="83">
      <c r="B83" s="2" t="s">
        <v>0</v>
      </c>
      <c r="C83" s="3"/>
      <c r="D83" s="3"/>
      <c r="E83" s="3"/>
      <c r="F83" s="3"/>
      <c r="G83" s="3"/>
      <c r="H83" s="3"/>
      <c r="I83" s="3"/>
      <c r="J83" s="3"/>
      <c r="K83" s="4"/>
      <c r="L83" s="128"/>
      <c r="M83" s="161" t="s">
        <v>54</v>
      </c>
      <c r="N83" s="3"/>
      <c r="O83" s="3"/>
      <c r="P83" s="3"/>
      <c r="Q83" s="3"/>
      <c r="R83" s="3"/>
      <c r="S83" s="3"/>
      <c r="T83" s="3"/>
      <c r="U83" s="3"/>
      <c r="V83" s="4"/>
    </row>
    <row r="84">
      <c r="B84" s="5"/>
      <c r="C84" s="6"/>
      <c r="D84" s="6"/>
      <c r="E84" s="6"/>
      <c r="F84" s="6"/>
      <c r="G84" s="6"/>
      <c r="H84" s="6"/>
      <c r="I84" s="6"/>
      <c r="J84" s="6"/>
      <c r="K84" s="7"/>
      <c r="L84" s="128"/>
      <c r="M84" s="5"/>
      <c r="N84" s="6"/>
      <c r="O84" s="6"/>
      <c r="P84" s="6"/>
      <c r="Q84" s="6"/>
      <c r="R84" s="6"/>
      <c r="S84" s="6"/>
      <c r="T84" s="6"/>
      <c r="U84" s="6"/>
      <c r="V84" s="7"/>
    </row>
    <row r="85">
      <c r="B85" s="8"/>
      <c r="C85" s="8"/>
      <c r="D85" s="8"/>
      <c r="E85" s="8"/>
      <c r="F85" s="129"/>
      <c r="G85" s="8"/>
      <c r="L85" s="128"/>
      <c r="M85" s="8"/>
      <c r="N85" s="8"/>
      <c r="O85" s="8"/>
      <c r="P85" s="8"/>
      <c r="Q85" s="129"/>
      <c r="R85" s="8"/>
    </row>
    <row r="86">
      <c r="B86" s="9" t="s">
        <v>26</v>
      </c>
      <c r="C86" s="10"/>
      <c r="D86" s="10"/>
      <c r="E86" s="11"/>
      <c r="F86" s="128"/>
      <c r="G86" s="72" t="s">
        <v>55</v>
      </c>
      <c r="H86" s="10"/>
      <c r="I86" s="12" t="s">
        <v>2</v>
      </c>
      <c r="J86" s="13" t="s">
        <v>3</v>
      </c>
      <c r="K86" s="14" t="s">
        <v>4</v>
      </c>
      <c r="L86" s="128"/>
      <c r="M86" s="9" t="s">
        <v>26</v>
      </c>
      <c r="N86" s="10"/>
      <c r="O86" s="10"/>
      <c r="P86" s="11"/>
      <c r="Q86" s="128"/>
      <c r="R86" s="72" t="s">
        <v>56</v>
      </c>
      <c r="S86" s="10"/>
      <c r="T86" s="12" t="s">
        <v>2</v>
      </c>
      <c r="U86" s="13" t="s">
        <v>3</v>
      </c>
      <c r="V86" s="14" t="s">
        <v>4</v>
      </c>
    </row>
    <row r="87">
      <c r="B87" s="15">
        <v>1.0</v>
      </c>
      <c r="C87" s="16" t="s">
        <v>5</v>
      </c>
      <c r="D87" s="11"/>
      <c r="E87" s="130">
        <v>624.0</v>
      </c>
      <c r="F87" s="128"/>
      <c r="G87" s="17" t="s">
        <v>6</v>
      </c>
      <c r="H87" s="18"/>
      <c r="I87" s="19">
        <f>E87</f>
        <v>624</v>
      </c>
      <c r="J87" s="20"/>
      <c r="K87" s="21"/>
      <c r="L87" s="128"/>
      <c r="M87" s="15">
        <v>1.0</v>
      </c>
      <c r="N87" s="16" t="s">
        <v>5</v>
      </c>
      <c r="O87" s="11"/>
      <c r="P87" s="130">
        <v>357.0</v>
      </c>
      <c r="Q87" s="128"/>
      <c r="R87" s="17" t="s">
        <v>6</v>
      </c>
      <c r="S87" s="18"/>
      <c r="T87" s="19">
        <f>P87</f>
        <v>357</v>
      </c>
      <c r="U87" s="20"/>
      <c r="V87" s="21"/>
    </row>
    <row r="88">
      <c r="B88" s="22">
        <v>2.0</v>
      </c>
      <c r="C88" s="23" t="s">
        <v>7</v>
      </c>
      <c r="D88" s="11"/>
      <c r="E88" s="131">
        <v>0.7</v>
      </c>
      <c r="F88" s="150">
        <v>0.7</v>
      </c>
      <c r="G88" s="25" t="s">
        <v>8</v>
      </c>
      <c r="H88" s="26"/>
      <c r="I88" s="27">
        <f t="shared" ref="I88:I89" si="25">I87*J88</f>
        <v>436.8</v>
      </c>
      <c r="J88" s="28">
        <f t="shared" ref="J88:J89" si="26">E88</f>
        <v>0.7</v>
      </c>
      <c r="K88" s="29">
        <f t="shared" ref="K88:K89" si="27">I88+(I88*E90)</f>
        <v>524.16</v>
      </c>
      <c r="L88" s="153">
        <f>K88/I87</f>
        <v>0.84</v>
      </c>
      <c r="M88" s="22">
        <v>2.0</v>
      </c>
      <c r="N88" s="23" t="s">
        <v>7</v>
      </c>
      <c r="O88" s="11"/>
      <c r="P88" s="131">
        <v>0.5</v>
      </c>
      <c r="Q88" s="150">
        <v>0.5</v>
      </c>
      <c r="R88" s="25" t="s">
        <v>8</v>
      </c>
      <c r="S88" s="26"/>
      <c r="T88" s="27">
        <f t="shared" ref="T88:T89" si="28">T87*U88</f>
        <v>178.5</v>
      </c>
      <c r="U88" s="28">
        <f t="shared" ref="U88:U89" si="29">P88</f>
        <v>0.5</v>
      </c>
      <c r="V88" s="29">
        <f t="shared" ref="V88:V89" si="30">T88+(T88*P90)</f>
        <v>267.75</v>
      </c>
      <c r="W88" s="133">
        <f>V88/T87</f>
        <v>0.75</v>
      </c>
    </row>
    <row r="89">
      <c r="B89" s="30">
        <v>3.0</v>
      </c>
      <c r="C89" s="31" t="s">
        <v>9</v>
      </c>
      <c r="D89" s="11"/>
      <c r="E89" s="134">
        <v>0.4</v>
      </c>
      <c r="F89" s="154" t="s">
        <v>38</v>
      </c>
      <c r="G89" s="25" t="s">
        <v>10</v>
      </c>
      <c r="H89" s="26"/>
      <c r="I89" s="33">
        <f t="shared" si="25"/>
        <v>174.72</v>
      </c>
      <c r="J89" s="34">
        <f t="shared" si="26"/>
        <v>0.4</v>
      </c>
      <c r="K89" s="35">
        <f t="shared" si="27"/>
        <v>349.44</v>
      </c>
      <c r="L89" s="153">
        <f>K89/K88</f>
        <v>0.6666666667</v>
      </c>
      <c r="M89" s="30">
        <v>3.0</v>
      </c>
      <c r="N89" s="31" t="s">
        <v>9</v>
      </c>
      <c r="O89" s="11"/>
      <c r="P89" s="134">
        <v>0.28</v>
      </c>
      <c r="Q89" s="154" t="s">
        <v>42</v>
      </c>
      <c r="R89" s="25" t="s">
        <v>10</v>
      </c>
      <c r="S89" s="26"/>
      <c r="T89" s="33">
        <f t="shared" si="28"/>
        <v>49.98</v>
      </c>
      <c r="U89" s="34">
        <f t="shared" si="29"/>
        <v>0.28</v>
      </c>
      <c r="V89" s="35">
        <f t="shared" si="30"/>
        <v>99.96</v>
      </c>
      <c r="W89" s="133">
        <f>V89/V88</f>
        <v>0.3733333333</v>
      </c>
    </row>
    <row r="90">
      <c r="B90" s="36">
        <v>4.0</v>
      </c>
      <c r="C90" s="37" t="s">
        <v>11</v>
      </c>
      <c r="D90" s="11"/>
      <c r="E90" s="136">
        <v>0.2</v>
      </c>
      <c r="F90" s="128"/>
      <c r="G90" s="25" t="s">
        <v>12</v>
      </c>
      <c r="H90" s="26"/>
      <c r="I90" s="39">
        <f>E92</f>
        <v>60</v>
      </c>
      <c r="J90" s="40">
        <f>E93</f>
        <v>0.4</v>
      </c>
      <c r="K90" s="41">
        <f>I90+(I90*E93)</f>
        <v>84</v>
      </c>
      <c r="L90" s="128"/>
      <c r="M90" s="36">
        <v>4.0</v>
      </c>
      <c r="N90" s="37" t="s">
        <v>11</v>
      </c>
      <c r="O90" s="11"/>
      <c r="P90" s="136">
        <v>0.5</v>
      </c>
      <c r="Q90" s="128"/>
      <c r="R90" s="25" t="s">
        <v>12</v>
      </c>
      <c r="S90" s="26"/>
      <c r="T90" s="39">
        <f>P92</f>
        <v>58</v>
      </c>
      <c r="U90" s="40">
        <f>P93</f>
        <v>0.4</v>
      </c>
      <c r="V90" s="41">
        <f>T90+(T90*P93)</f>
        <v>81.2</v>
      </c>
      <c r="W90" s="137"/>
    </row>
    <row r="91">
      <c r="B91" s="42">
        <v>5.0</v>
      </c>
      <c r="C91" s="43" t="s">
        <v>13</v>
      </c>
      <c r="D91" s="11"/>
      <c r="E91" s="138">
        <v>1.0</v>
      </c>
      <c r="F91" s="128"/>
      <c r="G91" s="25" t="s">
        <v>14</v>
      </c>
      <c r="H91" s="26"/>
      <c r="I91" s="45">
        <f>E94</f>
        <v>6900</v>
      </c>
      <c r="J91" s="46">
        <f>E95</f>
        <v>0.2</v>
      </c>
      <c r="K91" s="47">
        <f>I91+(I91*J91)</f>
        <v>8280</v>
      </c>
      <c r="L91" s="162">
        <f>K91/3</f>
        <v>2760</v>
      </c>
      <c r="M91" s="42">
        <v>5.0</v>
      </c>
      <c r="N91" s="43" t="s">
        <v>13</v>
      </c>
      <c r="O91" s="11"/>
      <c r="P91" s="138">
        <v>1.0</v>
      </c>
      <c r="Q91" s="128"/>
      <c r="R91" s="25" t="s">
        <v>14</v>
      </c>
      <c r="S91" s="26"/>
      <c r="T91" s="45">
        <f>P94</f>
        <v>5700</v>
      </c>
      <c r="U91" s="46">
        <f>P95</f>
        <v>0.2</v>
      </c>
      <c r="V91" s="47">
        <f>T91+(T91*U91)</f>
        <v>6840</v>
      </c>
      <c r="W91" s="157">
        <f>V91/3</f>
        <v>2280</v>
      </c>
    </row>
    <row r="92">
      <c r="B92" s="48">
        <v>6.0</v>
      </c>
      <c r="C92" s="49" t="s">
        <v>15</v>
      </c>
      <c r="D92" s="11"/>
      <c r="E92" s="140">
        <v>60.0</v>
      </c>
      <c r="F92" s="128"/>
      <c r="G92" s="25" t="s">
        <v>16</v>
      </c>
      <c r="H92" s="26"/>
      <c r="I92" s="45">
        <f>IFERROR(I88/E96,0)</f>
        <v>24.26666667</v>
      </c>
      <c r="J92" s="51"/>
      <c r="K92" s="47">
        <f>IFERROR(K88/K94,0)</f>
        <v>26.47272727</v>
      </c>
      <c r="L92" s="128"/>
      <c r="M92" s="48">
        <v>6.0</v>
      </c>
      <c r="N92" s="49" t="s">
        <v>15</v>
      </c>
      <c r="O92" s="11"/>
      <c r="P92" s="140">
        <v>58.0</v>
      </c>
      <c r="Q92" s="128"/>
      <c r="R92" s="25" t="s">
        <v>16</v>
      </c>
      <c r="S92" s="26"/>
      <c r="T92" s="45">
        <f>IFERROR(T88/P96,0)</f>
        <v>19.83333333</v>
      </c>
      <c r="U92" s="51"/>
      <c r="V92" s="47">
        <f>IFERROR(V88/V94,0)</f>
        <v>22.88461538</v>
      </c>
    </row>
    <row r="93">
      <c r="B93" s="48">
        <v>7.0</v>
      </c>
      <c r="C93" s="49" t="s">
        <v>17</v>
      </c>
      <c r="D93" s="11"/>
      <c r="E93" s="141">
        <v>0.4</v>
      </c>
      <c r="F93" s="128"/>
      <c r="G93" s="25" t="s">
        <v>18</v>
      </c>
      <c r="H93" s="26"/>
      <c r="I93" s="53">
        <f>IFERROR(I91/I89,0)</f>
        <v>39.49175824</v>
      </c>
      <c r="J93" s="51"/>
      <c r="K93" s="54">
        <f>IFERROR(K91/K89,0)</f>
        <v>23.69505495</v>
      </c>
      <c r="L93" s="128"/>
      <c r="M93" s="48">
        <v>7.0</v>
      </c>
      <c r="N93" s="49" t="s">
        <v>17</v>
      </c>
      <c r="O93" s="11"/>
      <c r="P93" s="141">
        <v>0.4</v>
      </c>
      <c r="Q93" s="128"/>
      <c r="R93" s="25" t="s">
        <v>18</v>
      </c>
      <c r="S93" s="26"/>
      <c r="T93" s="53">
        <f>IFERROR(T91/T89,0)</f>
        <v>114.0456182</v>
      </c>
      <c r="U93" s="51"/>
      <c r="V93" s="54">
        <f>IFERROR(V91/V89,0)</f>
        <v>68.42737095</v>
      </c>
    </row>
    <row r="94">
      <c r="B94" s="55">
        <v>8.0</v>
      </c>
      <c r="C94" s="56" t="s">
        <v>19</v>
      </c>
      <c r="D94" s="11"/>
      <c r="E94" s="142">
        <f>2300*3</f>
        <v>6900</v>
      </c>
      <c r="F94" s="143">
        <v>2386.0</v>
      </c>
      <c r="G94" s="25" t="s">
        <v>20</v>
      </c>
      <c r="H94" s="26"/>
      <c r="I94" s="59"/>
      <c r="J94" s="51"/>
      <c r="K94" s="47">
        <f>E96+(E96*E97)</f>
        <v>19.8</v>
      </c>
      <c r="L94" s="128"/>
      <c r="M94" s="55">
        <v>8.0</v>
      </c>
      <c r="N94" s="56" t="s">
        <v>19</v>
      </c>
      <c r="O94" s="11"/>
      <c r="P94" s="142">
        <f>1900*3</f>
        <v>5700</v>
      </c>
      <c r="Q94" s="163"/>
      <c r="R94" s="25" t="s">
        <v>20</v>
      </c>
      <c r="S94" s="26"/>
      <c r="T94" s="59"/>
      <c r="U94" s="51"/>
      <c r="V94" s="47">
        <f>P96+(P96*P97)</f>
        <v>11.7</v>
      </c>
    </row>
    <row r="95">
      <c r="B95" s="55">
        <v>9.0</v>
      </c>
      <c r="C95" s="56" t="s">
        <v>21</v>
      </c>
      <c r="D95" s="11"/>
      <c r="E95" s="144">
        <v>0.2</v>
      </c>
      <c r="F95" s="145"/>
      <c r="G95" s="25" t="s">
        <v>22</v>
      </c>
      <c r="H95" s="26"/>
      <c r="I95" s="45">
        <f>IFERROR(I91/E96,0)</f>
        <v>383.3333333</v>
      </c>
      <c r="J95" s="51"/>
      <c r="K95" s="47">
        <f>IFERROR(K91/K94,0)</f>
        <v>418.1818182</v>
      </c>
      <c r="L95" s="128"/>
      <c r="M95" s="55">
        <v>9.0</v>
      </c>
      <c r="N95" s="56" t="s">
        <v>21</v>
      </c>
      <c r="O95" s="11"/>
      <c r="P95" s="144">
        <v>0.2</v>
      </c>
      <c r="Q95" s="145"/>
      <c r="R95" s="25" t="s">
        <v>22</v>
      </c>
      <c r="S95" s="26"/>
      <c r="T95" s="45">
        <f>IFERROR(T91/P96,0)</f>
        <v>633.3333333</v>
      </c>
      <c r="U95" s="51"/>
      <c r="V95" s="47">
        <f>IFERROR(V91/V94,0)</f>
        <v>584.6153846</v>
      </c>
    </row>
    <row r="96">
      <c r="B96" s="55">
        <v>10.0</v>
      </c>
      <c r="C96" s="56" t="s">
        <v>23</v>
      </c>
      <c r="D96" s="11"/>
      <c r="E96" s="142">
        <v>18.0</v>
      </c>
      <c r="F96" s="145"/>
      <c r="G96" s="25"/>
      <c r="H96" s="26"/>
      <c r="I96" s="59"/>
      <c r="J96" s="51"/>
      <c r="K96" s="146"/>
      <c r="L96" s="128"/>
      <c r="M96" s="55">
        <v>10.0</v>
      </c>
      <c r="N96" s="56" t="s">
        <v>23</v>
      </c>
      <c r="O96" s="11"/>
      <c r="P96" s="142">
        <v>9.0</v>
      </c>
      <c r="Q96" s="145"/>
      <c r="R96" s="25"/>
      <c r="S96" s="26"/>
      <c r="T96" s="59"/>
      <c r="U96" s="51"/>
      <c r="V96" s="146"/>
    </row>
    <row r="97">
      <c r="B97" s="55">
        <v>11.0</v>
      </c>
      <c r="C97" s="56" t="s">
        <v>24</v>
      </c>
      <c r="D97" s="11"/>
      <c r="E97" s="144">
        <v>0.1</v>
      </c>
      <c r="F97" s="145"/>
      <c r="G97" s="147" t="s">
        <v>30</v>
      </c>
      <c r="H97" s="26"/>
      <c r="I97" s="88"/>
      <c r="J97" s="89"/>
      <c r="K97" s="90">
        <f>(K91*28)*E98</f>
        <v>37094.4</v>
      </c>
      <c r="L97" s="128"/>
      <c r="M97" s="55">
        <v>11.0</v>
      </c>
      <c r="N97" s="56" t="s">
        <v>24</v>
      </c>
      <c r="O97" s="11"/>
      <c r="P97" s="144">
        <v>0.3</v>
      </c>
      <c r="Q97" s="145"/>
      <c r="R97" s="147" t="s">
        <v>30</v>
      </c>
      <c r="S97" s="26"/>
      <c r="T97" s="88"/>
      <c r="U97" s="89"/>
      <c r="V97" s="90">
        <f>(V91*28)*P98</f>
        <v>19152</v>
      </c>
    </row>
    <row r="98">
      <c r="B98" s="91">
        <v>12.0</v>
      </c>
      <c r="C98" s="92" t="s">
        <v>31</v>
      </c>
      <c r="D98" s="11"/>
      <c r="E98" s="93">
        <v>0.16</v>
      </c>
      <c r="F98" s="145"/>
      <c r="G98" s="147" t="s">
        <v>32</v>
      </c>
      <c r="H98" s="26"/>
      <c r="I98" s="94"/>
      <c r="J98" s="95"/>
      <c r="K98" s="90">
        <f>(K91*28)*E99</f>
        <v>2318.4</v>
      </c>
      <c r="L98" s="128"/>
      <c r="M98" s="91">
        <v>12.0</v>
      </c>
      <c r="N98" s="92" t="s">
        <v>31</v>
      </c>
      <c r="O98" s="11"/>
      <c r="P98" s="93">
        <v>0.1</v>
      </c>
      <c r="Q98" s="145"/>
      <c r="R98" s="147" t="s">
        <v>32</v>
      </c>
      <c r="S98" s="26"/>
      <c r="T98" s="94"/>
      <c r="U98" s="95"/>
      <c r="V98" s="90">
        <f>(V91*28)*P99</f>
        <v>1915.2</v>
      </c>
    </row>
    <row r="99">
      <c r="B99" s="96"/>
      <c r="C99" s="92" t="s">
        <v>43</v>
      </c>
      <c r="D99" s="11"/>
      <c r="E99" s="97">
        <v>0.01</v>
      </c>
      <c r="F99" s="145"/>
      <c r="G99" s="62"/>
      <c r="H99" s="63"/>
      <c r="I99" s="64"/>
      <c r="J99" s="65"/>
      <c r="K99" s="66"/>
      <c r="L99" s="128"/>
      <c r="M99" s="96"/>
      <c r="N99" s="92" t="s">
        <v>43</v>
      </c>
      <c r="O99" s="11"/>
      <c r="P99" s="93">
        <v>0.01</v>
      </c>
      <c r="Q99" s="145"/>
      <c r="R99" s="62"/>
      <c r="S99" s="63"/>
      <c r="T99" s="64"/>
      <c r="U99" s="65"/>
      <c r="V99" s="66"/>
    </row>
    <row r="100">
      <c r="F100" s="129"/>
      <c r="G100" s="61"/>
      <c r="L100" s="128"/>
      <c r="Q100" s="129"/>
      <c r="R100" s="61"/>
    </row>
    <row r="101">
      <c r="B101" s="164" t="s">
        <v>25</v>
      </c>
      <c r="C101" s="3"/>
      <c r="D101" s="3"/>
      <c r="E101" s="3"/>
      <c r="F101" s="3"/>
      <c r="G101" s="3"/>
      <c r="H101" s="3"/>
      <c r="I101" s="3"/>
      <c r="J101" s="3"/>
      <c r="K101" s="4"/>
      <c r="L101" s="128"/>
      <c r="M101" s="67" t="s">
        <v>25</v>
      </c>
    </row>
    <row r="102">
      <c r="B102" s="5"/>
      <c r="C102" s="6"/>
      <c r="D102" s="6"/>
      <c r="E102" s="6"/>
      <c r="F102" s="6"/>
      <c r="G102" s="6"/>
      <c r="H102" s="6"/>
      <c r="I102" s="6"/>
      <c r="J102" s="6"/>
      <c r="K102" s="7"/>
      <c r="L102" s="128"/>
    </row>
    <row r="103"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128"/>
    </row>
    <row r="104">
      <c r="B104" s="2" t="s">
        <v>0</v>
      </c>
      <c r="C104" s="3"/>
      <c r="D104" s="3"/>
      <c r="E104" s="3"/>
      <c r="F104" s="3"/>
      <c r="G104" s="3"/>
      <c r="H104" s="3"/>
      <c r="I104" s="3"/>
      <c r="J104" s="3"/>
      <c r="K104" s="4"/>
      <c r="L104" s="128"/>
    </row>
    <row r="105">
      <c r="B105" s="5"/>
      <c r="C105" s="6"/>
      <c r="D105" s="6"/>
      <c r="E105" s="6"/>
      <c r="F105" s="6"/>
      <c r="G105" s="6"/>
      <c r="H105" s="6"/>
      <c r="I105" s="6"/>
      <c r="J105" s="6"/>
      <c r="K105" s="7"/>
      <c r="L105" s="128"/>
    </row>
    <row r="106">
      <c r="F106" s="129"/>
      <c r="G106" s="8"/>
      <c r="L106" s="128"/>
      <c r="Q106" s="129"/>
      <c r="R106" s="149" t="s">
        <v>45</v>
      </c>
    </row>
    <row r="107">
      <c r="B107" s="9" t="s">
        <v>26</v>
      </c>
      <c r="C107" s="10"/>
      <c r="D107" s="10"/>
      <c r="E107" s="11"/>
      <c r="F107" s="128"/>
      <c r="G107" s="72" t="s">
        <v>57</v>
      </c>
      <c r="H107" s="10"/>
      <c r="I107" s="12" t="s">
        <v>2</v>
      </c>
      <c r="J107" s="13" t="s">
        <v>3</v>
      </c>
      <c r="K107" s="14" t="s">
        <v>4</v>
      </c>
      <c r="L107" s="128"/>
      <c r="M107" s="9" t="s">
        <v>26</v>
      </c>
      <c r="N107" s="10"/>
      <c r="O107" s="10"/>
      <c r="P107" s="11"/>
      <c r="Q107" s="128"/>
      <c r="R107" s="72" t="s">
        <v>58</v>
      </c>
      <c r="S107" s="10"/>
      <c r="T107" s="12" t="s">
        <v>2</v>
      </c>
      <c r="U107" s="13" t="s">
        <v>3</v>
      </c>
      <c r="V107" s="14" t="s">
        <v>4</v>
      </c>
    </row>
    <row r="108">
      <c r="B108" s="15">
        <v>1.0</v>
      </c>
      <c r="C108" s="16" t="s">
        <v>5</v>
      </c>
      <c r="D108" s="11"/>
      <c r="E108" s="130">
        <v>495.0</v>
      </c>
      <c r="F108" s="128"/>
      <c r="G108" s="17" t="s">
        <v>6</v>
      </c>
      <c r="H108" s="18"/>
      <c r="I108" s="19">
        <f>E108</f>
        <v>495</v>
      </c>
      <c r="J108" s="20"/>
      <c r="K108" s="21"/>
      <c r="L108" s="128"/>
      <c r="M108" s="15">
        <v>1.0</v>
      </c>
      <c r="N108" s="16" t="s">
        <v>5</v>
      </c>
      <c r="O108" s="11"/>
      <c r="P108" s="130">
        <v>238.0</v>
      </c>
      <c r="Q108" s="128"/>
      <c r="R108" s="17" t="s">
        <v>6</v>
      </c>
      <c r="S108" s="18"/>
      <c r="T108" s="19">
        <f>P108</f>
        <v>238</v>
      </c>
      <c r="U108" s="20"/>
      <c r="V108" s="21"/>
    </row>
    <row r="109">
      <c r="B109" s="22">
        <v>2.0</v>
      </c>
      <c r="C109" s="23" t="s">
        <v>7</v>
      </c>
      <c r="D109" s="11"/>
      <c r="E109" s="131">
        <v>0.5</v>
      </c>
      <c r="F109" s="150">
        <v>0.5</v>
      </c>
      <c r="G109" s="25" t="s">
        <v>8</v>
      </c>
      <c r="H109" s="26"/>
      <c r="I109" s="27">
        <f t="shared" ref="I109:I110" si="31">I108*J109</f>
        <v>247.5</v>
      </c>
      <c r="J109" s="28">
        <f t="shared" ref="J109:J110" si="32">E109</f>
        <v>0.5</v>
      </c>
      <c r="K109" s="29">
        <f t="shared" ref="K109:K110" si="33">I109+(I109*E111)</f>
        <v>297</v>
      </c>
      <c r="L109" s="153">
        <f>K109/I108</f>
        <v>0.6</v>
      </c>
      <c r="M109" s="22">
        <v>2.0</v>
      </c>
      <c r="N109" s="23" t="s">
        <v>7</v>
      </c>
      <c r="O109" s="11"/>
      <c r="P109" s="131">
        <v>0.7</v>
      </c>
      <c r="Q109" s="150">
        <v>0.5</v>
      </c>
      <c r="R109" s="25" t="s">
        <v>8</v>
      </c>
      <c r="S109" s="26"/>
      <c r="T109" s="27">
        <f t="shared" ref="T109:T110" si="34">T108*U109</f>
        <v>166.6</v>
      </c>
      <c r="U109" s="28">
        <f t="shared" ref="U109:U110" si="35">P109</f>
        <v>0.7</v>
      </c>
      <c r="V109" s="29">
        <f t="shared" ref="V109:V110" si="36">T109+(T109*P111)</f>
        <v>199.92</v>
      </c>
      <c r="W109" s="75">
        <f>V109/T108</f>
        <v>0.84</v>
      </c>
    </row>
    <row r="110">
      <c r="B110" s="30">
        <v>3.0</v>
      </c>
      <c r="C110" s="31" t="s">
        <v>9</v>
      </c>
      <c r="D110" s="11"/>
      <c r="E110" s="134">
        <v>0.3</v>
      </c>
      <c r="F110" s="154" t="s">
        <v>36</v>
      </c>
      <c r="G110" s="25" t="s">
        <v>10</v>
      </c>
      <c r="H110" s="26"/>
      <c r="I110" s="33">
        <f t="shared" si="31"/>
        <v>74.25</v>
      </c>
      <c r="J110" s="34">
        <f t="shared" si="32"/>
        <v>0.3</v>
      </c>
      <c r="K110" s="35">
        <f t="shared" si="33"/>
        <v>85.3875</v>
      </c>
      <c r="L110" s="153">
        <f>K110/K109</f>
        <v>0.2875</v>
      </c>
      <c r="M110" s="30">
        <v>3.0</v>
      </c>
      <c r="N110" s="31" t="s">
        <v>9</v>
      </c>
      <c r="O110" s="11"/>
      <c r="P110" s="134">
        <v>0.48</v>
      </c>
      <c r="Q110" s="154" t="s">
        <v>38</v>
      </c>
      <c r="R110" s="25" t="s">
        <v>10</v>
      </c>
      <c r="S110" s="26"/>
      <c r="T110" s="33">
        <f t="shared" si="34"/>
        <v>79.968</v>
      </c>
      <c r="U110" s="34">
        <f t="shared" si="35"/>
        <v>0.48</v>
      </c>
      <c r="V110" s="35">
        <f t="shared" si="36"/>
        <v>99.96</v>
      </c>
      <c r="W110" s="75">
        <f>V110/V109</f>
        <v>0.5</v>
      </c>
    </row>
    <row r="111">
      <c r="B111" s="36">
        <v>4.0</v>
      </c>
      <c r="C111" s="37" t="s">
        <v>11</v>
      </c>
      <c r="D111" s="11"/>
      <c r="E111" s="136">
        <v>0.2</v>
      </c>
      <c r="F111" s="128"/>
      <c r="G111" s="25" t="s">
        <v>12</v>
      </c>
      <c r="H111" s="26"/>
      <c r="I111" s="39">
        <f>E113</f>
        <v>40</v>
      </c>
      <c r="J111" s="40">
        <f>E114</f>
        <v>0.1</v>
      </c>
      <c r="K111" s="41">
        <f>I111+(I111*E114)</f>
        <v>44</v>
      </c>
      <c r="L111" s="128"/>
      <c r="M111" s="36">
        <v>4.0</v>
      </c>
      <c r="N111" s="37" t="s">
        <v>11</v>
      </c>
      <c r="O111" s="11"/>
      <c r="P111" s="136">
        <v>0.2</v>
      </c>
      <c r="Q111" s="128"/>
      <c r="R111" s="25" t="s">
        <v>12</v>
      </c>
      <c r="S111" s="26"/>
      <c r="T111" s="39">
        <f>P113</f>
        <v>35</v>
      </c>
      <c r="U111" s="40">
        <f>P114</f>
        <v>0.2</v>
      </c>
      <c r="V111" s="41">
        <f>T111+(T111*P114)</f>
        <v>42</v>
      </c>
    </row>
    <row r="112">
      <c r="B112" s="42">
        <v>5.0</v>
      </c>
      <c r="C112" s="43" t="s">
        <v>13</v>
      </c>
      <c r="D112" s="11"/>
      <c r="E112" s="138">
        <v>0.15</v>
      </c>
      <c r="F112" s="157"/>
      <c r="G112" s="25" t="s">
        <v>14</v>
      </c>
      <c r="H112" s="26"/>
      <c r="I112" s="45">
        <f>E115</f>
        <v>1500</v>
      </c>
      <c r="J112" s="46">
        <f>E116</f>
        <v>0.2</v>
      </c>
      <c r="K112" s="47">
        <f>I112+(I112*J112)</f>
        <v>1800</v>
      </c>
      <c r="L112" s="165">
        <f>K112/3</f>
        <v>600</v>
      </c>
      <c r="M112" s="42">
        <v>5.0</v>
      </c>
      <c r="N112" s="43" t="s">
        <v>13</v>
      </c>
      <c r="O112" s="11"/>
      <c r="P112" s="138">
        <v>0.25</v>
      </c>
      <c r="Q112" s="128"/>
      <c r="R112" s="25" t="s">
        <v>14</v>
      </c>
      <c r="S112" s="26"/>
      <c r="T112" s="45">
        <f>P115</f>
        <v>116</v>
      </c>
      <c r="U112" s="46">
        <f>P116</f>
        <v>0.3</v>
      </c>
      <c r="V112" s="47">
        <f>T112+(T112*U112)</f>
        <v>150.8</v>
      </c>
      <c r="W112" s="122">
        <f>V112/3</f>
        <v>50.26666667</v>
      </c>
    </row>
    <row r="113">
      <c r="B113" s="48">
        <v>6.0</v>
      </c>
      <c r="C113" s="49" t="s">
        <v>15</v>
      </c>
      <c r="D113" s="11"/>
      <c r="E113" s="140">
        <v>40.0</v>
      </c>
      <c r="F113" s="157"/>
      <c r="G113" s="25" t="s">
        <v>16</v>
      </c>
      <c r="H113" s="26"/>
      <c r="I113" s="45">
        <f>IFERROR(I109/E117,0)</f>
        <v>22.5</v>
      </c>
      <c r="J113" s="51"/>
      <c r="K113" s="47">
        <f>IFERROR(K109/K115,0)</f>
        <v>22.5</v>
      </c>
      <c r="L113" s="128"/>
      <c r="M113" s="48">
        <v>6.0</v>
      </c>
      <c r="N113" s="49" t="s">
        <v>15</v>
      </c>
      <c r="O113" s="11"/>
      <c r="P113" s="140">
        <v>35.0</v>
      </c>
      <c r="Q113" s="128"/>
      <c r="R113" s="25" t="s">
        <v>16</v>
      </c>
      <c r="S113" s="26"/>
      <c r="T113" s="45">
        <f>IFERROR(T109/P117,0)</f>
        <v>13.88333333</v>
      </c>
      <c r="U113" s="51"/>
      <c r="V113" s="47">
        <f>IFERROR(V109/V115,0)</f>
        <v>15.14545455</v>
      </c>
    </row>
    <row r="114">
      <c r="B114" s="48">
        <v>7.0</v>
      </c>
      <c r="C114" s="49" t="s">
        <v>17</v>
      </c>
      <c r="D114" s="11"/>
      <c r="E114" s="141">
        <v>0.1</v>
      </c>
      <c r="F114" s="157"/>
      <c r="G114" s="25" t="s">
        <v>18</v>
      </c>
      <c r="H114" s="26"/>
      <c r="I114" s="53">
        <f>IFERROR(I112/I110,0)</f>
        <v>20.2020202</v>
      </c>
      <c r="J114" s="51"/>
      <c r="K114" s="54">
        <f>IFERROR(K112/K110,0)</f>
        <v>21.08036891</v>
      </c>
      <c r="L114" s="128"/>
      <c r="M114" s="48">
        <v>7.0</v>
      </c>
      <c r="N114" s="49" t="s">
        <v>17</v>
      </c>
      <c r="O114" s="11"/>
      <c r="P114" s="141">
        <v>0.2</v>
      </c>
      <c r="Q114" s="128"/>
      <c r="R114" s="25" t="s">
        <v>18</v>
      </c>
      <c r="S114" s="26"/>
      <c r="T114" s="53">
        <f>IFERROR(T112/T110,0)</f>
        <v>1.450580232</v>
      </c>
      <c r="U114" s="51"/>
      <c r="V114" s="54">
        <f>IFERROR(V112/V110,0)</f>
        <v>1.508603441</v>
      </c>
    </row>
    <row r="115">
      <c r="B115" s="55">
        <v>8.0</v>
      </c>
      <c r="C115" s="56" t="s">
        <v>19</v>
      </c>
      <c r="D115" s="11"/>
      <c r="E115" s="142">
        <f>500*3</f>
        <v>1500</v>
      </c>
      <c r="F115" s="166">
        <v>127.0</v>
      </c>
      <c r="G115" s="25" t="s">
        <v>20</v>
      </c>
      <c r="H115" s="26"/>
      <c r="I115" s="59"/>
      <c r="J115" s="51"/>
      <c r="K115" s="47">
        <f>E117+(E117*E118)</f>
        <v>13.2</v>
      </c>
      <c r="L115" s="128"/>
      <c r="M115" s="55">
        <v>8.0</v>
      </c>
      <c r="N115" s="56" t="s">
        <v>19</v>
      </c>
      <c r="O115" s="11"/>
      <c r="P115" s="142">
        <v>116.0</v>
      </c>
      <c r="Q115" s="143">
        <v>115.0</v>
      </c>
      <c r="R115" s="25" t="s">
        <v>20</v>
      </c>
      <c r="S115" s="26"/>
      <c r="T115" s="59"/>
      <c r="U115" s="51"/>
      <c r="V115" s="47">
        <f>P117+(P117*P118)</f>
        <v>13.2</v>
      </c>
    </row>
    <row r="116">
      <c r="B116" s="55">
        <v>9.0</v>
      </c>
      <c r="C116" s="56" t="s">
        <v>21</v>
      </c>
      <c r="D116" s="11"/>
      <c r="E116" s="144">
        <v>0.2</v>
      </c>
      <c r="F116" s="167"/>
      <c r="G116" s="25" t="s">
        <v>22</v>
      </c>
      <c r="H116" s="26"/>
      <c r="I116" s="45">
        <f>IFERROR(I112/E117,0)</f>
        <v>136.3636364</v>
      </c>
      <c r="J116" s="51"/>
      <c r="K116" s="47">
        <f>IFERROR(K112/K115,0)</f>
        <v>136.3636364</v>
      </c>
      <c r="L116" s="128"/>
      <c r="M116" s="55">
        <v>9.0</v>
      </c>
      <c r="N116" s="56" t="s">
        <v>21</v>
      </c>
      <c r="O116" s="11"/>
      <c r="P116" s="144">
        <v>0.3</v>
      </c>
      <c r="Q116" s="145"/>
      <c r="R116" s="25" t="s">
        <v>22</v>
      </c>
      <c r="S116" s="26"/>
      <c r="T116" s="45">
        <f>IFERROR(T112/P117,0)</f>
        <v>9.666666667</v>
      </c>
      <c r="U116" s="51"/>
      <c r="V116" s="47">
        <f>IFERROR(V112/V115,0)</f>
        <v>11.42424242</v>
      </c>
    </row>
    <row r="117">
      <c r="B117" s="55">
        <v>10.0</v>
      </c>
      <c r="C117" s="56" t="s">
        <v>23</v>
      </c>
      <c r="D117" s="11"/>
      <c r="E117" s="142">
        <v>11.0</v>
      </c>
      <c r="F117" s="145"/>
      <c r="G117" s="25"/>
      <c r="H117" s="26"/>
      <c r="I117" s="59"/>
      <c r="J117" s="51"/>
      <c r="K117" s="146"/>
      <c r="L117" s="128"/>
      <c r="M117" s="55">
        <v>10.0</v>
      </c>
      <c r="N117" s="56" t="s">
        <v>23</v>
      </c>
      <c r="O117" s="11"/>
      <c r="P117" s="142">
        <v>12.0</v>
      </c>
      <c r="Q117" s="145"/>
      <c r="R117" s="25"/>
      <c r="S117" s="26"/>
      <c r="T117" s="59"/>
      <c r="U117" s="51"/>
      <c r="V117" s="146"/>
    </row>
    <row r="118">
      <c r="B118" s="55">
        <v>11.0</v>
      </c>
      <c r="C118" s="56" t="s">
        <v>24</v>
      </c>
      <c r="D118" s="11"/>
      <c r="E118" s="144">
        <v>0.2</v>
      </c>
      <c r="F118" s="145"/>
      <c r="G118" s="147" t="s">
        <v>30</v>
      </c>
      <c r="H118" s="26"/>
      <c r="I118" s="88"/>
      <c r="J118" s="89"/>
      <c r="K118" s="90">
        <f>(K112*28)*E119</f>
        <v>11592</v>
      </c>
      <c r="L118" s="128"/>
      <c r="M118" s="55">
        <v>11.0</v>
      </c>
      <c r="N118" s="56" t="s">
        <v>24</v>
      </c>
      <c r="O118" s="11"/>
      <c r="P118" s="144">
        <v>0.1</v>
      </c>
      <c r="Q118" s="145"/>
      <c r="R118" s="147" t="s">
        <v>30</v>
      </c>
      <c r="S118" s="26"/>
      <c r="T118" s="88"/>
      <c r="U118" s="89"/>
      <c r="V118" s="90">
        <f>(V112*28)*P119</f>
        <v>0</v>
      </c>
    </row>
    <row r="119">
      <c r="B119" s="91">
        <v>12.0</v>
      </c>
      <c r="C119" s="92" t="s">
        <v>31</v>
      </c>
      <c r="D119" s="11"/>
      <c r="E119" s="93">
        <v>0.23</v>
      </c>
      <c r="F119" s="145"/>
      <c r="G119" s="147" t="s">
        <v>32</v>
      </c>
      <c r="H119" s="26"/>
      <c r="I119" s="94"/>
      <c r="J119" s="95"/>
      <c r="K119" s="90">
        <f>(K112*28)*E120</f>
        <v>504</v>
      </c>
      <c r="L119" s="128"/>
      <c r="M119" s="91">
        <v>12.0</v>
      </c>
      <c r="N119" s="92" t="s">
        <v>31</v>
      </c>
      <c r="O119" s="11"/>
      <c r="P119" s="93">
        <v>0.0</v>
      </c>
      <c r="Q119" s="145"/>
      <c r="R119" s="147" t="s">
        <v>32</v>
      </c>
      <c r="S119" s="26"/>
      <c r="T119" s="94"/>
      <c r="U119" s="95"/>
      <c r="V119" s="90">
        <f>(V112*28)*P120</f>
        <v>42.224</v>
      </c>
    </row>
    <row r="120">
      <c r="B120" s="96"/>
      <c r="C120" s="92" t="s">
        <v>43</v>
      </c>
      <c r="D120" s="11"/>
      <c r="E120" s="93">
        <v>0.01</v>
      </c>
      <c r="F120" s="145"/>
      <c r="G120" s="62"/>
      <c r="H120" s="63"/>
      <c r="I120" s="64"/>
      <c r="J120" s="65"/>
      <c r="K120" s="66"/>
      <c r="L120" s="128"/>
      <c r="M120" s="96"/>
      <c r="N120" s="92" t="s">
        <v>43</v>
      </c>
      <c r="O120" s="11"/>
      <c r="P120" s="93">
        <v>0.01</v>
      </c>
      <c r="Q120" s="145"/>
      <c r="R120" s="62"/>
      <c r="S120" s="63"/>
      <c r="T120" s="64"/>
      <c r="U120" s="65"/>
      <c r="V120" s="66"/>
    </row>
    <row r="121">
      <c r="F121" s="129"/>
      <c r="G121" s="61"/>
      <c r="L121" s="128"/>
      <c r="Q121" s="129"/>
      <c r="R121" s="61"/>
    </row>
    <row r="122">
      <c r="B122" s="67" t="s">
        <v>25</v>
      </c>
      <c r="L122" s="128"/>
      <c r="M122" s="67" t="s">
        <v>59</v>
      </c>
    </row>
    <row r="123">
      <c r="L123" s="128"/>
    </row>
    <row r="124">
      <c r="B124" s="8"/>
      <c r="C124" s="8"/>
      <c r="D124" s="8"/>
      <c r="E124" s="149"/>
      <c r="F124" s="129"/>
      <c r="G124" s="8"/>
      <c r="L124" s="128"/>
      <c r="Q124" s="128"/>
    </row>
    <row r="125">
      <c r="B125" s="2" t="s">
        <v>0</v>
      </c>
      <c r="C125" s="3"/>
      <c r="D125" s="3"/>
      <c r="E125" s="3"/>
      <c r="F125" s="3"/>
      <c r="G125" s="3"/>
      <c r="H125" s="3"/>
      <c r="I125" s="3"/>
      <c r="J125" s="3"/>
      <c r="K125" s="4"/>
      <c r="L125" s="128"/>
      <c r="Q125" s="128"/>
    </row>
    <row r="126">
      <c r="B126" s="5"/>
      <c r="C126" s="6"/>
      <c r="D126" s="6"/>
      <c r="E126" s="6"/>
      <c r="F126" s="6"/>
      <c r="G126" s="6"/>
      <c r="H126" s="6"/>
      <c r="I126" s="6"/>
      <c r="J126" s="6"/>
      <c r="K126" s="7"/>
      <c r="L126" s="128"/>
      <c r="M126" s="9" t="s">
        <v>26</v>
      </c>
      <c r="N126" s="10"/>
      <c r="O126" s="10"/>
      <c r="P126" s="11"/>
      <c r="Q126" s="128"/>
      <c r="R126" s="72" t="s">
        <v>60</v>
      </c>
      <c r="S126" s="10"/>
      <c r="T126" s="12" t="s">
        <v>2</v>
      </c>
      <c r="U126" s="13" t="s">
        <v>3</v>
      </c>
      <c r="V126" s="14" t="s">
        <v>4</v>
      </c>
    </row>
    <row r="127">
      <c r="B127" s="8"/>
      <c r="C127" s="8"/>
      <c r="D127" s="8"/>
      <c r="E127" s="8"/>
      <c r="F127" s="129"/>
      <c r="G127" s="8"/>
      <c r="L127" s="128"/>
      <c r="M127" s="15">
        <v>1.0</v>
      </c>
      <c r="N127" s="16" t="s">
        <v>5</v>
      </c>
      <c r="O127" s="11"/>
      <c r="P127" s="130">
        <v>238.0</v>
      </c>
      <c r="Q127" s="128"/>
      <c r="R127" s="17" t="s">
        <v>6</v>
      </c>
      <c r="S127" s="18"/>
      <c r="T127" s="19">
        <f>P127</f>
        <v>238</v>
      </c>
      <c r="U127" s="20"/>
      <c r="V127" s="21"/>
    </row>
    <row r="128">
      <c r="B128" s="9" t="s">
        <v>26</v>
      </c>
      <c r="C128" s="10"/>
      <c r="D128" s="10"/>
      <c r="E128" s="11"/>
      <c r="F128" s="128"/>
      <c r="G128" s="72" t="s">
        <v>61</v>
      </c>
      <c r="H128" s="10"/>
      <c r="I128" s="12" t="s">
        <v>2</v>
      </c>
      <c r="J128" s="13" t="s">
        <v>3</v>
      </c>
      <c r="K128" s="14" t="s">
        <v>4</v>
      </c>
      <c r="L128" s="128"/>
      <c r="M128" s="22">
        <v>2.0</v>
      </c>
      <c r="N128" s="23" t="s">
        <v>7</v>
      </c>
      <c r="O128" s="11"/>
      <c r="P128" s="131">
        <v>0.6</v>
      </c>
      <c r="Q128" s="150">
        <v>0.7</v>
      </c>
      <c r="R128" s="25" t="s">
        <v>8</v>
      </c>
      <c r="S128" s="26"/>
      <c r="T128" s="27">
        <f t="shared" ref="T128:T129" si="37">T127*U128</f>
        <v>142.8</v>
      </c>
      <c r="U128" s="28">
        <f t="shared" ref="U128:U129" si="38">P128</f>
        <v>0.6</v>
      </c>
      <c r="V128" s="29">
        <f t="shared" ref="V128:V129" si="39">T128+(T128*P130)</f>
        <v>171.36</v>
      </c>
      <c r="W128" s="75">
        <f>V128/T127</f>
        <v>0.72</v>
      </c>
    </row>
    <row r="129">
      <c r="B129" s="15">
        <v>1.0</v>
      </c>
      <c r="C129" s="16" t="s">
        <v>5</v>
      </c>
      <c r="D129" s="11"/>
      <c r="E129" s="130"/>
      <c r="F129" s="128"/>
      <c r="G129" s="17" t="s">
        <v>6</v>
      </c>
      <c r="H129" s="18"/>
      <c r="I129" s="19" t="str">
        <f>E129</f>
        <v/>
      </c>
      <c r="J129" s="20"/>
      <c r="K129" s="21"/>
      <c r="L129" s="128"/>
      <c r="M129" s="30">
        <v>3.0</v>
      </c>
      <c r="N129" s="31" t="s">
        <v>9</v>
      </c>
      <c r="O129" s="11"/>
      <c r="P129" s="134">
        <v>0.45</v>
      </c>
      <c r="Q129" s="154" t="s">
        <v>38</v>
      </c>
      <c r="R129" s="25" t="s">
        <v>10</v>
      </c>
      <c r="S129" s="26"/>
      <c r="T129" s="33">
        <f t="shared" si="37"/>
        <v>64.26</v>
      </c>
      <c r="U129" s="34">
        <f t="shared" si="38"/>
        <v>0.45</v>
      </c>
      <c r="V129" s="35">
        <f t="shared" si="39"/>
        <v>83.538</v>
      </c>
      <c r="W129" s="75">
        <f>V129/V128</f>
        <v>0.4875</v>
      </c>
    </row>
    <row r="130">
      <c r="B130" s="22">
        <v>2.0</v>
      </c>
      <c r="C130" s="23" t="s">
        <v>7</v>
      </c>
      <c r="D130" s="11"/>
      <c r="E130" s="131">
        <v>0.7</v>
      </c>
      <c r="F130" s="132">
        <v>0.7</v>
      </c>
      <c r="G130" s="25" t="s">
        <v>8</v>
      </c>
      <c r="H130" s="26"/>
      <c r="I130" s="27">
        <f t="shared" ref="I130:I131" si="40">I129*J130</f>
        <v>0</v>
      </c>
      <c r="J130" s="28">
        <f t="shared" ref="J130:J131" si="41">E130</f>
        <v>0.7</v>
      </c>
      <c r="K130" s="29">
        <f t="shared" ref="K130:K131" si="42">I130+(I130*E132)</f>
        <v>0</v>
      </c>
      <c r="L130" s="128"/>
      <c r="M130" s="36">
        <v>4.0</v>
      </c>
      <c r="N130" s="37" t="s">
        <v>11</v>
      </c>
      <c r="O130" s="11"/>
      <c r="P130" s="136">
        <v>0.2</v>
      </c>
      <c r="Q130" s="128"/>
      <c r="R130" s="25" t="s">
        <v>12</v>
      </c>
      <c r="S130" s="26"/>
      <c r="T130" s="39">
        <f>P132</f>
        <v>30</v>
      </c>
      <c r="U130" s="40">
        <f>P133</f>
        <v>0.2</v>
      </c>
      <c r="V130" s="41">
        <f>T130+(T130*P133)</f>
        <v>36</v>
      </c>
    </row>
    <row r="131">
      <c r="B131" s="30">
        <v>3.0</v>
      </c>
      <c r="C131" s="31" t="s">
        <v>9</v>
      </c>
      <c r="D131" s="11"/>
      <c r="E131" s="134">
        <v>0.6</v>
      </c>
      <c r="F131" s="135" t="s">
        <v>36</v>
      </c>
      <c r="G131" s="25" t="s">
        <v>10</v>
      </c>
      <c r="H131" s="26"/>
      <c r="I131" s="33">
        <f t="shared" si="40"/>
        <v>0</v>
      </c>
      <c r="J131" s="34">
        <f t="shared" si="41"/>
        <v>0.6</v>
      </c>
      <c r="K131" s="35">
        <f t="shared" si="42"/>
        <v>0</v>
      </c>
      <c r="L131" s="128"/>
      <c r="M131" s="42">
        <v>5.0</v>
      </c>
      <c r="N131" s="43" t="s">
        <v>13</v>
      </c>
      <c r="O131" s="11"/>
      <c r="P131" s="138">
        <v>0.3</v>
      </c>
      <c r="Q131" s="128"/>
      <c r="R131" s="25" t="s">
        <v>14</v>
      </c>
      <c r="S131" s="26"/>
      <c r="T131" s="45">
        <f>P134</f>
        <v>318</v>
      </c>
      <c r="U131" s="46">
        <f>P135</f>
        <v>0.2</v>
      </c>
      <c r="V131" s="47">
        <f>T131+(T131*U131)</f>
        <v>381.6</v>
      </c>
      <c r="W131" s="168">
        <f>V131/3</f>
        <v>127.2</v>
      </c>
    </row>
    <row r="132">
      <c r="B132" s="36">
        <v>4.0</v>
      </c>
      <c r="C132" s="37" t="s">
        <v>11</v>
      </c>
      <c r="D132" s="11"/>
      <c r="E132" s="136">
        <v>0.2</v>
      </c>
      <c r="F132" s="128"/>
      <c r="G132" s="25" t="s">
        <v>12</v>
      </c>
      <c r="H132" s="26"/>
      <c r="I132" s="39">
        <f>E134</f>
        <v>72</v>
      </c>
      <c r="J132" s="40">
        <f>E135</f>
        <v>0.25</v>
      </c>
      <c r="K132" s="41">
        <f>I132+(I132*E135)</f>
        <v>90</v>
      </c>
      <c r="L132" s="128"/>
      <c r="M132" s="48">
        <v>6.0</v>
      </c>
      <c r="N132" s="49" t="s">
        <v>15</v>
      </c>
      <c r="O132" s="11"/>
      <c r="P132" s="140">
        <v>30.0</v>
      </c>
      <c r="Q132" s="128"/>
      <c r="R132" s="25" t="s">
        <v>16</v>
      </c>
      <c r="S132" s="26"/>
      <c r="T132" s="45">
        <f>IFERROR(T128/P136,0)</f>
        <v>11.9</v>
      </c>
      <c r="U132" s="51"/>
      <c r="V132" s="47">
        <f>IFERROR(V128/V134,0)</f>
        <v>10.98461538</v>
      </c>
    </row>
    <row r="133">
      <c r="B133" s="42">
        <v>5.0</v>
      </c>
      <c r="C133" s="43" t="s">
        <v>13</v>
      </c>
      <c r="D133" s="11"/>
      <c r="E133" s="138">
        <v>0.5</v>
      </c>
      <c r="F133" s="157"/>
      <c r="G133" s="25" t="s">
        <v>14</v>
      </c>
      <c r="H133" s="26"/>
      <c r="I133" s="45">
        <f>E136</f>
        <v>2049</v>
      </c>
      <c r="J133" s="46">
        <f>E137</f>
        <v>0.2</v>
      </c>
      <c r="K133" s="47">
        <f>I133+(I133*J133)</f>
        <v>2458.8</v>
      </c>
      <c r="L133" s="169">
        <f>K133/3</f>
        <v>819.6</v>
      </c>
      <c r="M133" s="48">
        <v>7.0</v>
      </c>
      <c r="N133" s="49" t="s">
        <v>17</v>
      </c>
      <c r="O133" s="11"/>
      <c r="P133" s="141">
        <v>0.2</v>
      </c>
      <c r="Q133" s="128"/>
      <c r="R133" s="25" t="s">
        <v>18</v>
      </c>
      <c r="S133" s="26"/>
      <c r="T133" s="53">
        <f>IFERROR(T131/T129,0)</f>
        <v>4.948646125</v>
      </c>
      <c r="U133" s="51"/>
      <c r="V133" s="54">
        <f>IFERROR(V131/V129,0)</f>
        <v>4.567981039</v>
      </c>
    </row>
    <row r="134">
      <c r="B134" s="48">
        <v>6.0</v>
      </c>
      <c r="C134" s="49" t="s">
        <v>15</v>
      </c>
      <c r="D134" s="11"/>
      <c r="E134" s="140">
        <v>72.0</v>
      </c>
      <c r="F134" s="157"/>
      <c r="G134" s="25" t="s">
        <v>16</v>
      </c>
      <c r="H134" s="26"/>
      <c r="I134" s="45">
        <f>IFERROR(I130/E138,0)</f>
        <v>0</v>
      </c>
      <c r="J134" s="51"/>
      <c r="K134" s="47">
        <f>IFERROR(K130/K136,0)</f>
        <v>0</v>
      </c>
      <c r="L134" s="128"/>
      <c r="M134" s="55">
        <v>8.0</v>
      </c>
      <c r="N134" s="56" t="s">
        <v>19</v>
      </c>
      <c r="O134" s="11"/>
      <c r="P134" s="142">
        <f>106*3</f>
        <v>318</v>
      </c>
      <c r="Q134" s="154" t="s">
        <v>62</v>
      </c>
      <c r="R134" s="25" t="s">
        <v>20</v>
      </c>
      <c r="S134" s="26"/>
      <c r="T134" s="59"/>
      <c r="U134" s="51"/>
      <c r="V134" s="47">
        <f>P136+(P136*P137)</f>
        <v>15.6</v>
      </c>
    </row>
    <row r="135">
      <c r="B135" s="48">
        <v>7.0</v>
      </c>
      <c r="C135" s="49" t="s">
        <v>17</v>
      </c>
      <c r="D135" s="11"/>
      <c r="E135" s="141">
        <v>0.25</v>
      </c>
      <c r="F135" s="157"/>
      <c r="G135" s="25" t="s">
        <v>18</v>
      </c>
      <c r="H135" s="26"/>
      <c r="I135" s="53">
        <f>IFERROR(I133/I131,0)</f>
        <v>0</v>
      </c>
      <c r="J135" s="51"/>
      <c r="K135" s="54">
        <f>IFERROR(K133/K131,0)</f>
        <v>0</v>
      </c>
      <c r="L135" s="128"/>
      <c r="M135" s="55">
        <v>9.0</v>
      </c>
      <c r="N135" s="56" t="s">
        <v>21</v>
      </c>
      <c r="O135" s="11"/>
      <c r="P135" s="144">
        <v>0.2</v>
      </c>
      <c r="Q135" s="145"/>
      <c r="R135" s="25" t="s">
        <v>22</v>
      </c>
      <c r="S135" s="26"/>
      <c r="T135" s="45">
        <f>IFERROR(T131/P136,0)</f>
        <v>26.5</v>
      </c>
      <c r="U135" s="51"/>
      <c r="V135" s="47">
        <f>IFERROR(V131/V134,0)</f>
        <v>24.46153846</v>
      </c>
    </row>
    <row r="136">
      <c r="B136" s="55">
        <v>8.0</v>
      </c>
      <c r="C136" s="56" t="s">
        <v>19</v>
      </c>
      <c r="D136" s="11"/>
      <c r="E136" s="142">
        <f>683*3</f>
        <v>2049</v>
      </c>
      <c r="F136" s="143">
        <v>683.0</v>
      </c>
      <c r="G136" s="25" t="s">
        <v>20</v>
      </c>
      <c r="H136" s="26"/>
      <c r="I136" s="59"/>
      <c r="J136" s="51"/>
      <c r="K136" s="47">
        <f>E138+(E138*E139)</f>
        <v>19.8</v>
      </c>
      <c r="L136" s="128"/>
      <c r="M136" s="55">
        <v>10.0</v>
      </c>
      <c r="N136" s="56" t="s">
        <v>23</v>
      </c>
      <c r="O136" s="11"/>
      <c r="P136" s="142">
        <v>12.0</v>
      </c>
      <c r="Q136" s="145"/>
      <c r="R136" s="25"/>
      <c r="S136" s="26"/>
      <c r="T136" s="59"/>
      <c r="U136" s="51"/>
      <c r="V136" s="146"/>
    </row>
    <row r="137">
      <c r="B137" s="55">
        <v>9.0</v>
      </c>
      <c r="C137" s="56" t="s">
        <v>21</v>
      </c>
      <c r="D137" s="11"/>
      <c r="E137" s="144">
        <v>0.2</v>
      </c>
      <c r="F137" s="167"/>
      <c r="G137" s="25" t="s">
        <v>22</v>
      </c>
      <c r="H137" s="26"/>
      <c r="I137" s="45">
        <f>IFERROR(I133/E138,0)</f>
        <v>113.8333333</v>
      </c>
      <c r="J137" s="51"/>
      <c r="K137" s="47">
        <f>IFERROR(K133/K136,0)</f>
        <v>124.1818182</v>
      </c>
      <c r="L137" s="128"/>
      <c r="M137" s="55">
        <v>11.0</v>
      </c>
      <c r="N137" s="56" t="s">
        <v>24</v>
      </c>
      <c r="O137" s="11"/>
      <c r="P137" s="144">
        <v>0.3</v>
      </c>
      <c r="Q137" s="145"/>
      <c r="R137" s="147" t="s">
        <v>30</v>
      </c>
      <c r="S137" s="26"/>
      <c r="T137" s="88"/>
      <c r="U137" s="89"/>
      <c r="V137" s="90">
        <f>(V131*28)*P138</f>
        <v>1923.264</v>
      </c>
    </row>
    <row r="138">
      <c r="B138" s="55">
        <v>10.0</v>
      </c>
      <c r="C138" s="56" t="s">
        <v>23</v>
      </c>
      <c r="D138" s="11"/>
      <c r="E138" s="142">
        <v>18.0</v>
      </c>
      <c r="F138" s="167"/>
      <c r="G138" s="25"/>
      <c r="H138" s="26"/>
      <c r="I138" s="59"/>
      <c r="J138" s="51"/>
      <c r="K138" s="146"/>
      <c r="L138" s="128"/>
      <c r="M138" s="91">
        <v>12.0</v>
      </c>
      <c r="N138" s="92" t="s">
        <v>31</v>
      </c>
      <c r="O138" s="11"/>
      <c r="P138" s="170">
        <v>0.18</v>
      </c>
      <c r="Q138" s="145"/>
      <c r="R138" s="147" t="s">
        <v>32</v>
      </c>
      <c r="S138" s="26"/>
      <c r="T138" s="94"/>
      <c r="U138" s="95"/>
      <c r="V138" s="90">
        <f>(V131*28)*P139</f>
        <v>106.848</v>
      </c>
    </row>
    <row r="139">
      <c r="B139" s="55">
        <v>11.0</v>
      </c>
      <c r="C139" s="56" t="s">
        <v>24</v>
      </c>
      <c r="D139" s="11"/>
      <c r="E139" s="144">
        <v>0.1</v>
      </c>
      <c r="F139" s="145"/>
      <c r="G139" s="147" t="s">
        <v>30</v>
      </c>
      <c r="H139" s="26"/>
      <c r="I139" s="88"/>
      <c r="J139" s="89"/>
      <c r="K139" s="90">
        <f>(K133*28)*E140</f>
        <v>6884.64</v>
      </c>
      <c r="L139" s="128"/>
      <c r="M139" s="96"/>
      <c r="N139" s="92" t="s">
        <v>43</v>
      </c>
      <c r="O139" s="11"/>
      <c r="P139" s="93">
        <v>0.01</v>
      </c>
      <c r="Q139" s="145"/>
      <c r="R139" s="62"/>
      <c r="S139" s="63"/>
      <c r="T139" s="64"/>
      <c r="U139" s="65"/>
      <c r="V139" s="66"/>
    </row>
    <row r="140">
      <c r="B140" s="91">
        <v>12.0</v>
      </c>
      <c r="C140" s="92" t="s">
        <v>31</v>
      </c>
      <c r="D140" s="11"/>
      <c r="E140" s="93">
        <v>0.1</v>
      </c>
      <c r="F140" s="145"/>
      <c r="G140" s="147" t="s">
        <v>32</v>
      </c>
      <c r="H140" s="26"/>
      <c r="I140" s="94"/>
      <c r="J140" s="95"/>
      <c r="K140" s="90">
        <f>(K133*28)*E141</f>
        <v>688.464</v>
      </c>
      <c r="L140" s="128"/>
      <c r="Q140" s="129"/>
      <c r="R140" s="61"/>
    </row>
    <row r="141">
      <c r="B141" s="96"/>
      <c r="C141" s="92" t="s">
        <v>43</v>
      </c>
      <c r="D141" s="11"/>
      <c r="E141" s="93">
        <v>0.01</v>
      </c>
      <c r="F141" s="145"/>
      <c r="G141" s="62"/>
      <c r="H141" s="63"/>
      <c r="I141" s="64"/>
      <c r="J141" s="65"/>
      <c r="K141" s="66"/>
      <c r="L141" s="128"/>
      <c r="M141" s="67" t="s">
        <v>25</v>
      </c>
    </row>
    <row r="142">
      <c r="F142" s="129"/>
      <c r="G142" s="61"/>
      <c r="L142" s="128"/>
    </row>
    <row r="143">
      <c r="B143" s="148" t="s">
        <v>25</v>
      </c>
      <c r="C143" s="3"/>
      <c r="D143" s="3"/>
      <c r="E143" s="3"/>
      <c r="F143" s="3"/>
      <c r="G143" s="3"/>
      <c r="H143" s="3"/>
      <c r="I143" s="3"/>
      <c r="J143" s="3"/>
      <c r="K143" s="4"/>
      <c r="L143" s="128"/>
      <c r="Q143" s="128"/>
    </row>
    <row r="144">
      <c r="B144" s="5"/>
      <c r="C144" s="6"/>
      <c r="D144" s="6"/>
      <c r="E144" s="6"/>
      <c r="F144" s="6"/>
      <c r="G144" s="6"/>
      <c r="H144" s="6"/>
      <c r="I144" s="6"/>
      <c r="J144" s="6"/>
      <c r="K144" s="7"/>
      <c r="L144" s="128"/>
      <c r="Q144" s="128"/>
    </row>
    <row r="145">
      <c r="F145" s="128"/>
      <c r="L145" s="128"/>
      <c r="Q145" s="128"/>
    </row>
    <row r="146">
      <c r="B146" s="171" t="s">
        <v>63</v>
      </c>
      <c r="F146" s="128"/>
      <c r="L146" s="128"/>
      <c r="Q146" s="128"/>
    </row>
    <row r="147">
      <c r="B147" s="2" t="s">
        <v>0</v>
      </c>
      <c r="C147" s="3"/>
      <c r="D147" s="3"/>
      <c r="E147" s="3"/>
      <c r="F147" s="3"/>
      <c r="G147" s="3"/>
      <c r="H147" s="3"/>
      <c r="I147" s="3"/>
      <c r="J147" s="3"/>
      <c r="K147" s="4"/>
      <c r="L147" s="128"/>
      <c r="Q147" s="128"/>
    </row>
    <row r="148">
      <c r="B148" s="5"/>
      <c r="C148" s="6"/>
      <c r="D148" s="6"/>
      <c r="E148" s="6"/>
      <c r="F148" s="6"/>
      <c r="G148" s="6"/>
      <c r="H148" s="6"/>
      <c r="I148" s="6"/>
      <c r="J148" s="6"/>
      <c r="K148" s="7"/>
      <c r="L148" s="128"/>
      <c r="Q148" s="128"/>
    </row>
    <row r="149">
      <c r="B149" s="8"/>
      <c r="C149" s="8"/>
      <c r="D149" s="8"/>
      <c r="E149" s="8"/>
      <c r="F149" s="129"/>
      <c r="G149" s="8"/>
      <c r="L149" s="128"/>
      <c r="Q149" s="128"/>
    </row>
    <row r="150">
      <c r="B150" s="9" t="s">
        <v>64</v>
      </c>
      <c r="C150" s="10"/>
      <c r="D150" s="10"/>
      <c r="E150" s="11"/>
      <c r="F150" s="128"/>
      <c r="G150" s="72" t="s">
        <v>65</v>
      </c>
      <c r="H150" s="10"/>
      <c r="I150" s="12" t="s">
        <v>2</v>
      </c>
      <c r="J150" s="13" t="s">
        <v>3</v>
      </c>
      <c r="K150" s="14" t="s">
        <v>4</v>
      </c>
      <c r="L150" s="128"/>
      <c r="Q150" s="128"/>
    </row>
    <row r="151">
      <c r="B151" s="15">
        <v>1.0</v>
      </c>
      <c r="C151" s="16" t="s">
        <v>5</v>
      </c>
      <c r="D151" s="11"/>
      <c r="E151" s="130"/>
      <c r="F151" s="128"/>
      <c r="G151" s="17" t="s">
        <v>6</v>
      </c>
      <c r="H151" s="18"/>
      <c r="I151" s="19" t="str">
        <f>E151</f>
        <v/>
      </c>
      <c r="J151" s="20"/>
      <c r="K151" s="21"/>
      <c r="L151" s="128"/>
      <c r="Q151" s="128"/>
    </row>
    <row r="152">
      <c r="B152" s="22">
        <v>2.0</v>
      </c>
      <c r="C152" s="23" t="s">
        <v>7</v>
      </c>
      <c r="D152" s="11"/>
      <c r="E152" s="131">
        <v>0.7</v>
      </c>
      <c r="F152" s="132">
        <v>0.7</v>
      </c>
      <c r="G152" s="25" t="s">
        <v>8</v>
      </c>
      <c r="H152" s="26"/>
      <c r="I152" s="27">
        <f t="shared" ref="I152:I153" si="43">I151*J152</f>
        <v>0</v>
      </c>
      <c r="J152" s="28">
        <f t="shared" ref="J152:J153" si="44">E152</f>
        <v>0.7</v>
      </c>
      <c r="K152" s="29">
        <f t="shared" ref="K152:K153" si="45">I152+(I152*E154)</f>
        <v>0</v>
      </c>
      <c r="L152" s="128"/>
      <c r="Q152" s="128"/>
    </row>
    <row r="153">
      <c r="B153" s="30">
        <v>3.0</v>
      </c>
      <c r="C153" s="31" t="s">
        <v>9</v>
      </c>
      <c r="D153" s="11"/>
      <c r="E153" s="134">
        <v>0.6</v>
      </c>
      <c r="F153" s="135" t="s">
        <v>36</v>
      </c>
      <c r="G153" s="25" t="s">
        <v>10</v>
      </c>
      <c r="H153" s="26"/>
      <c r="I153" s="33">
        <f t="shared" si="43"/>
        <v>0</v>
      </c>
      <c r="J153" s="34">
        <f t="shared" si="44"/>
        <v>0.6</v>
      </c>
      <c r="K153" s="35">
        <f t="shared" si="45"/>
        <v>0</v>
      </c>
      <c r="L153" s="128"/>
      <c r="Q153" s="128"/>
    </row>
    <row r="154">
      <c r="B154" s="36">
        <v>4.0</v>
      </c>
      <c r="C154" s="37" t="s">
        <v>11</v>
      </c>
      <c r="D154" s="11"/>
      <c r="E154" s="136">
        <v>0.2</v>
      </c>
      <c r="F154" s="128"/>
      <c r="G154" s="25" t="s">
        <v>12</v>
      </c>
      <c r="H154" s="26"/>
      <c r="I154" s="39">
        <f>E156</f>
        <v>72</v>
      </c>
      <c r="J154" s="40">
        <f>E157</f>
        <v>0.25</v>
      </c>
      <c r="K154" s="41">
        <f>I154+(I154*E157)</f>
        <v>90</v>
      </c>
      <c r="L154" s="128"/>
      <c r="Q154" s="128"/>
    </row>
    <row r="155">
      <c r="B155" s="42">
        <v>5.0</v>
      </c>
      <c r="C155" s="43" t="s">
        <v>13</v>
      </c>
      <c r="D155" s="11"/>
      <c r="E155" s="138">
        <v>0.5</v>
      </c>
      <c r="F155" s="157"/>
      <c r="G155" s="25" t="s">
        <v>14</v>
      </c>
      <c r="H155" s="26"/>
      <c r="I155" s="45">
        <f>E158</f>
        <v>2049</v>
      </c>
      <c r="J155" s="46">
        <f>E159</f>
        <v>0.2</v>
      </c>
      <c r="K155" s="47">
        <f>I155+(I155*J155)</f>
        <v>2458.8</v>
      </c>
      <c r="L155" s="128"/>
      <c r="Q155" s="128"/>
    </row>
    <row r="156">
      <c r="B156" s="48">
        <v>6.0</v>
      </c>
      <c r="C156" s="49" t="s">
        <v>15</v>
      </c>
      <c r="D156" s="11"/>
      <c r="E156" s="140">
        <v>72.0</v>
      </c>
      <c r="F156" s="157"/>
      <c r="G156" s="25" t="s">
        <v>16</v>
      </c>
      <c r="H156" s="26"/>
      <c r="I156" s="45">
        <f>IFERROR(I152/E160,0)</f>
        <v>0</v>
      </c>
      <c r="J156" s="51"/>
      <c r="K156" s="47">
        <f>IFERROR(K152/K158,0)</f>
        <v>0</v>
      </c>
      <c r="L156" s="128"/>
      <c r="Q156" s="128"/>
    </row>
    <row r="157">
      <c r="B157" s="48">
        <v>7.0</v>
      </c>
      <c r="C157" s="49" t="s">
        <v>17</v>
      </c>
      <c r="D157" s="11"/>
      <c r="E157" s="141">
        <v>0.25</v>
      </c>
      <c r="F157" s="157"/>
      <c r="G157" s="25" t="s">
        <v>18</v>
      </c>
      <c r="H157" s="26"/>
      <c r="I157" s="53">
        <f>IFERROR(I155/I153,0)</f>
        <v>0</v>
      </c>
      <c r="J157" s="51"/>
      <c r="K157" s="54">
        <f>IFERROR(K155/K153,0)</f>
        <v>0</v>
      </c>
      <c r="L157" s="128"/>
      <c r="Q157" s="128"/>
    </row>
    <row r="158">
      <c r="B158" s="55">
        <v>8.0</v>
      </c>
      <c r="C158" s="56" t="s">
        <v>19</v>
      </c>
      <c r="D158" s="11"/>
      <c r="E158" s="142">
        <f>683*3</f>
        <v>2049</v>
      </c>
      <c r="F158" s="143">
        <v>683.0</v>
      </c>
      <c r="G158" s="25" t="s">
        <v>20</v>
      </c>
      <c r="H158" s="26"/>
      <c r="I158" s="59"/>
      <c r="J158" s="51"/>
      <c r="K158" s="47">
        <f>E160+(E160*E161)</f>
        <v>19.8</v>
      </c>
      <c r="L158" s="128"/>
      <c r="Q158" s="128"/>
    </row>
    <row r="159">
      <c r="B159" s="55">
        <v>9.0</v>
      </c>
      <c r="C159" s="56" t="s">
        <v>21</v>
      </c>
      <c r="D159" s="11"/>
      <c r="E159" s="144">
        <v>0.2</v>
      </c>
      <c r="F159" s="167"/>
      <c r="G159" s="25" t="s">
        <v>22</v>
      </c>
      <c r="H159" s="26"/>
      <c r="I159" s="45">
        <f>IFERROR(I155/E160,0)</f>
        <v>113.8333333</v>
      </c>
      <c r="J159" s="51"/>
      <c r="K159" s="47">
        <f>IFERROR(K155/K158,0)</f>
        <v>124.1818182</v>
      </c>
      <c r="L159" s="128"/>
      <c r="Q159" s="128"/>
    </row>
    <row r="160">
      <c r="B160" s="55">
        <v>10.0</v>
      </c>
      <c r="C160" s="56" t="s">
        <v>23</v>
      </c>
      <c r="D160" s="11"/>
      <c r="E160" s="142">
        <v>18.0</v>
      </c>
      <c r="F160" s="167"/>
      <c r="G160" s="25"/>
      <c r="H160" s="26"/>
      <c r="I160" s="59"/>
      <c r="J160" s="51"/>
      <c r="K160" s="146"/>
      <c r="L160" s="128"/>
      <c r="Q160" s="128"/>
    </row>
    <row r="161">
      <c r="B161" s="55">
        <v>11.0</v>
      </c>
      <c r="C161" s="56" t="s">
        <v>24</v>
      </c>
      <c r="D161" s="11"/>
      <c r="E161" s="144">
        <v>0.1</v>
      </c>
      <c r="F161" s="145"/>
      <c r="G161" s="147" t="s">
        <v>30</v>
      </c>
      <c r="H161" s="26"/>
      <c r="I161" s="88"/>
      <c r="J161" s="89"/>
      <c r="K161" s="90">
        <f>(K155*28)*E162</f>
        <v>6884.64</v>
      </c>
      <c r="L161" s="128"/>
      <c r="Q161" s="128"/>
    </row>
    <row r="162">
      <c r="B162" s="91">
        <v>12.0</v>
      </c>
      <c r="C162" s="92" t="s">
        <v>31</v>
      </c>
      <c r="D162" s="11"/>
      <c r="E162" s="93">
        <v>0.1</v>
      </c>
      <c r="F162" s="145"/>
      <c r="G162" s="147" t="s">
        <v>32</v>
      </c>
      <c r="H162" s="26"/>
      <c r="I162" s="94"/>
      <c r="J162" s="95"/>
      <c r="K162" s="90">
        <f>(K155*28)*E163</f>
        <v>688.464</v>
      </c>
      <c r="L162" s="128"/>
      <c r="Q162" s="128"/>
    </row>
    <row r="163">
      <c r="B163" s="96"/>
      <c r="C163" s="92" t="s">
        <v>43</v>
      </c>
      <c r="D163" s="11"/>
      <c r="E163" s="93">
        <v>0.01</v>
      </c>
      <c r="F163" s="145"/>
      <c r="G163" s="62"/>
      <c r="H163" s="63"/>
      <c r="I163" s="64"/>
      <c r="J163" s="65"/>
      <c r="K163" s="66"/>
      <c r="L163" s="128"/>
      <c r="Q163" s="128"/>
    </row>
    <row r="164">
      <c r="F164" s="129"/>
      <c r="G164" s="61"/>
      <c r="L164" s="128"/>
      <c r="Q164" s="128"/>
    </row>
    <row r="165">
      <c r="B165" s="148" t="s">
        <v>25</v>
      </c>
      <c r="C165" s="3"/>
      <c r="D165" s="3"/>
      <c r="E165" s="3"/>
      <c r="F165" s="3"/>
      <c r="G165" s="3"/>
      <c r="H165" s="3"/>
      <c r="I165" s="3"/>
      <c r="J165" s="3"/>
      <c r="K165" s="4"/>
      <c r="L165" s="128"/>
      <c r="Q165" s="128"/>
    </row>
    <row r="166">
      <c r="B166" s="5"/>
      <c r="C166" s="6"/>
      <c r="D166" s="6"/>
      <c r="E166" s="6"/>
      <c r="F166" s="6"/>
      <c r="G166" s="6"/>
      <c r="H166" s="6"/>
      <c r="I166" s="6"/>
      <c r="J166" s="6"/>
      <c r="K166" s="7"/>
      <c r="L166" s="128"/>
      <c r="Q166" s="128"/>
    </row>
    <row r="167">
      <c r="B167" s="8"/>
      <c r="C167" s="8"/>
      <c r="D167" s="8"/>
      <c r="E167" s="8"/>
      <c r="F167" s="129"/>
      <c r="G167" s="8"/>
      <c r="L167" s="128"/>
      <c r="Q167" s="128"/>
    </row>
    <row r="168">
      <c r="B168" s="8"/>
      <c r="C168" s="8"/>
      <c r="D168" s="8"/>
      <c r="E168" s="8"/>
      <c r="F168" s="129"/>
      <c r="G168" s="8"/>
      <c r="L168" s="128"/>
      <c r="Q168" s="128"/>
    </row>
    <row r="169">
      <c r="B169" s="8"/>
      <c r="C169" s="8"/>
      <c r="D169" s="8"/>
      <c r="E169" s="8"/>
      <c r="F169" s="129"/>
      <c r="G169" s="8"/>
      <c r="L169" s="128"/>
      <c r="Q169" s="128"/>
    </row>
    <row r="170">
      <c r="B170" s="8"/>
      <c r="C170" s="8"/>
      <c r="D170" s="8"/>
      <c r="E170" s="8"/>
      <c r="F170" s="129"/>
      <c r="G170" s="8"/>
      <c r="L170" s="128"/>
      <c r="Q170" s="128"/>
    </row>
    <row r="171">
      <c r="B171" s="8"/>
      <c r="C171" s="8"/>
      <c r="D171" s="8"/>
      <c r="E171" s="8"/>
      <c r="F171" s="129"/>
      <c r="G171" s="8"/>
      <c r="L171" s="128"/>
      <c r="Q171" s="128"/>
    </row>
    <row r="172">
      <c r="B172" s="8"/>
      <c r="C172" s="8"/>
      <c r="D172" s="8"/>
      <c r="E172" s="8"/>
      <c r="F172" s="129"/>
      <c r="G172" s="8"/>
      <c r="L172" s="128"/>
      <c r="Q172" s="128"/>
    </row>
    <row r="173">
      <c r="B173" s="8"/>
      <c r="C173" s="8"/>
      <c r="D173" s="8"/>
      <c r="E173" s="8"/>
      <c r="F173" s="129"/>
      <c r="G173" s="8"/>
      <c r="L173" s="128"/>
      <c r="Q173" s="128"/>
    </row>
    <row r="174">
      <c r="B174" s="8"/>
      <c r="C174" s="8"/>
      <c r="D174" s="8"/>
      <c r="E174" s="8"/>
      <c r="F174" s="129"/>
      <c r="G174" s="8"/>
      <c r="L174" s="128"/>
      <c r="Q174" s="128"/>
    </row>
    <row r="175">
      <c r="B175" s="8"/>
      <c r="C175" s="8"/>
      <c r="D175" s="8"/>
      <c r="E175" s="8"/>
      <c r="F175" s="129"/>
      <c r="G175" s="8"/>
      <c r="L175" s="128"/>
      <c r="Q175" s="128"/>
    </row>
    <row r="176">
      <c r="B176" s="8"/>
      <c r="C176" s="8"/>
      <c r="D176" s="8"/>
      <c r="E176" s="8"/>
      <c r="F176" s="129"/>
      <c r="G176" s="8"/>
      <c r="L176" s="128"/>
      <c r="Q176" s="128"/>
    </row>
    <row r="177">
      <c r="B177" s="8"/>
      <c r="C177" s="8"/>
      <c r="D177" s="8"/>
      <c r="E177" s="8"/>
      <c r="F177" s="129"/>
      <c r="G177" s="8"/>
      <c r="L177" s="128"/>
      <c r="Q177" s="128"/>
    </row>
    <row r="178">
      <c r="B178" s="8"/>
      <c r="C178" s="8"/>
      <c r="D178" s="8"/>
      <c r="E178" s="8"/>
      <c r="F178" s="129"/>
      <c r="G178" s="8"/>
      <c r="L178" s="128"/>
      <c r="Q178" s="128"/>
    </row>
    <row r="179">
      <c r="B179" s="8"/>
      <c r="C179" s="8"/>
      <c r="D179" s="8"/>
      <c r="E179" s="8"/>
      <c r="F179" s="129"/>
      <c r="G179" s="8"/>
      <c r="L179" s="128"/>
      <c r="Q179" s="128"/>
    </row>
    <row r="180">
      <c r="B180" s="8"/>
      <c r="C180" s="8"/>
      <c r="D180" s="8"/>
      <c r="E180" s="8"/>
      <c r="F180" s="129"/>
      <c r="G180" s="8"/>
      <c r="L180" s="128"/>
      <c r="Q180" s="128"/>
    </row>
    <row r="181">
      <c r="B181" s="8"/>
      <c r="C181" s="8"/>
      <c r="D181" s="8"/>
      <c r="E181" s="8"/>
      <c r="F181" s="129"/>
      <c r="G181" s="8"/>
      <c r="L181" s="128"/>
      <c r="Q181" s="128"/>
    </row>
    <row r="182">
      <c r="B182" s="8"/>
      <c r="C182" s="8"/>
      <c r="D182" s="8"/>
      <c r="E182" s="8"/>
      <c r="F182" s="129"/>
      <c r="G182" s="8"/>
      <c r="L182" s="128"/>
      <c r="Q182" s="128"/>
    </row>
    <row r="183">
      <c r="B183" s="8"/>
      <c r="C183" s="8"/>
      <c r="D183" s="8"/>
      <c r="E183" s="8"/>
      <c r="F183" s="129"/>
      <c r="G183" s="8"/>
      <c r="L183" s="128"/>
      <c r="Q183" s="128"/>
    </row>
    <row r="184">
      <c r="B184" s="8"/>
      <c r="C184" s="8"/>
      <c r="D184" s="8"/>
      <c r="E184" s="8"/>
      <c r="F184" s="129"/>
      <c r="G184" s="8"/>
      <c r="L184" s="128"/>
      <c r="Q184" s="128"/>
    </row>
    <row r="185">
      <c r="B185" s="8"/>
      <c r="C185" s="8"/>
      <c r="D185" s="8"/>
      <c r="E185" s="8"/>
      <c r="F185" s="129"/>
      <c r="G185" s="8"/>
      <c r="L185" s="128"/>
      <c r="Q185" s="128"/>
    </row>
    <row r="186">
      <c r="B186" s="8"/>
      <c r="C186" s="8"/>
      <c r="D186" s="8"/>
      <c r="E186" s="8"/>
      <c r="F186" s="129"/>
      <c r="G186" s="8"/>
      <c r="L186" s="128"/>
      <c r="Q186" s="128"/>
    </row>
    <row r="187">
      <c r="B187" s="8"/>
      <c r="C187" s="8"/>
      <c r="D187" s="8"/>
      <c r="E187" s="8"/>
      <c r="F187" s="129"/>
      <c r="G187" s="8"/>
      <c r="L187" s="128"/>
      <c r="Q187" s="128"/>
    </row>
    <row r="188">
      <c r="B188" s="8"/>
      <c r="C188" s="8"/>
      <c r="D188" s="8"/>
      <c r="E188" s="8"/>
      <c r="F188" s="129"/>
      <c r="G188" s="8"/>
      <c r="L188" s="128"/>
      <c r="Q188" s="128"/>
    </row>
    <row r="189">
      <c r="B189" s="8"/>
      <c r="C189" s="8"/>
      <c r="D189" s="8"/>
      <c r="E189" s="8"/>
      <c r="F189" s="129"/>
      <c r="G189" s="8"/>
      <c r="L189" s="128"/>
      <c r="Q189" s="128"/>
    </row>
    <row r="190">
      <c r="B190" s="8"/>
      <c r="C190" s="8"/>
      <c r="D190" s="8"/>
      <c r="E190" s="8"/>
      <c r="F190" s="129"/>
      <c r="G190" s="8"/>
      <c r="L190" s="128"/>
      <c r="Q190" s="128"/>
    </row>
    <row r="191">
      <c r="B191" s="8"/>
      <c r="C191" s="8"/>
      <c r="D191" s="8"/>
      <c r="E191" s="8"/>
      <c r="F191" s="129"/>
      <c r="G191" s="8"/>
      <c r="L191" s="128"/>
      <c r="Q191" s="128"/>
    </row>
    <row r="192">
      <c r="B192" s="8"/>
      <c r="C192" s="8"/>
      <c r="D192" s="8"/>
      <c r="E192" s="8"/>
      <c r="F192" s="129"/>
      <c r="G192" s="8"/>
      <c r="L192" s="128"/>
      <c r="Q192" s="128"/>
    </row>
    <row r="193">
      <c r="B193" s="8"/>
      <c r="C193" s="8"/>
      <c r="D193" s="8"/>
      <c r="E193" s="8"/>
      <c r="F193" s="129"/>
      <c r="G193" s="8"/>
      <c r="L193" s="128"/>
      <c r="Q193" s="128"/>
    </row>
    <row r="194">
      <c r="B194" s="8"/>
      <c r="C194" s="8"/>
      <c r="D194" s="8"/>
      <c r="E194" s="8"/>
      <c r="F194" s="129"/>
      <c r="G194" s="8"/>
      <c r="L194" s="128"/>
      <c r="Q194" s="128"/>
    </row>
    <row r="195">
      <c r="B195" s="8"/>
      <c r="C195" s="8"/>
      <c r="D195" s="8"/>
      <c r="E195" s="8"/>
      <c r="F195" s="129"/>
      <c r="G195" s="8"/>
      <c r="L195" s="128"/>
      <c r="Q195" s="128"/>
    </row>
    <row r="196">
      <c r="B196" s="8"/>
      <c r="C196" s="8"/>
      <c r="D196" s="8"/>
      <c r="E196" s="8"/>
      <c r="F196" s="129"/>
      <c r="G196" s="8"/>
      <c r="L196" s="128"/>
      <c r="Q196" s="128"/>
    </row>
    <row r="197">
      <c r="B197" s="8"/>
      <c r="C197" s="8"/>
      <c r="D197" s="8"/>
      <c r="E197" s="8"/>
      <c r="F197" s="129"/>
      <c r="G197" s="8"/>
      <c r="L197" s="128"/>
      <c r="Q197" s="128"/>
    </row>
    <row r="198">
      <c r="B198" s="8"/>
      <c r="C198" s="8"/>
      <c r="D198" s="8"/>
      <c r="E198" s="8"/>
      <c r="F198" s="129"/>
      <c r="G198" s="8"/>
      <c r="L198" s="128"/>
      <c r="Q198" s="128"/>
    </row>
    <row r="199">
      <c r="B199" s="8"/>
      <c r="C199" s="8"/>
      <c r="D199" s="8"/>
      <c r="E199" s="8"/>
      <c r="F199" s="129"/>
      <c r="G199" s="8"/>
      <c r="L199" s="128"/>
      <c r="Q199" s="128"/>
    </row>
    <row r="200">
      <c r="B200" s="8"/>
      <c r="C200" s="8"/>
      <c r="D200" s="8"/>
      <c r="E200" s="8"/>
      <c r="F200" s="129"/>
      <c r="G200" s="8"/>
      <c r="L200" s="128"/>
      <c r="Q200" s="128"/>
    </row>
    <row r="201">
      <c r="B201" s="8"/>
      <c r="C201" s="8"/>
      <c r="D201" s="8"/>
      <c r="E201" s="8"/>
      <c r="F201" s="129"/>
      <c r="G201" s="8"/>
      <c r="L201" s="128"/>
      <c r="Q201" s="128"/>
    </row>
    <row r="202">
      <c r="B202" s="8"/>
      <c r="C202" s="8"/>
      <c r="D202" s="8"/>
      <c r="E202" s="8"/>
      <c r="F202" s="129"/>
      <c r="G202" s="8"/>
      <c r="L202" s="128"/>
      <c r="Q202" s="128"/>
    </row>
    <row r="203">
      <c r="B203" s="8"/>
      <c r="C203" s="8"/>
      <c r="D203" s="8"/>
      <c r="E203" s="8"/>
      <c r="F203" s="129"/>
      <c r="G203" s="8"/>
      <c r="L203" s="128"/>
      <c r="Q203" s="128"/>
    </row>
    <row r="204">
      <c r="B204" s="8"/>
      <c r="C204" s="8"/>
      <c r="D204" s="8"/>
      <c r="E204" s="8"/>
      <c r="F204" s="129"/>
      <c r="G204" s="8"/>
      <c r="L204" s="128"/>
      <c r="Q204" s="128"/>
    </row>
    <row r="205">
      <c r="B205" s="8"/>
      <c r="C205" s="8"/>
      <c r="D205" s="8"/>
      <c r="E205" s="8"/>
      <c r="F205" s="129"/>
      <c r="G205" s="8"/>
      <c r="L205" s="128"/>
      <c r="Q205" s="128"/>
    </row>
    <row r="206">
      <c r="B206" s="8"/>
      <c r="C206" s="8"/>
      <c r="D206" s="8"/>
      <c r="E206" s="8"/>
      <c r="F206" s="129"/>
      <c r="G206" s="8"/>
      <c r="L206" s="128"/>
      <c r="Q206" s="128"/>
    </row>
    <row r="207">
      <c r="B207" s="8"/>
      <c r="C207" s="8"/>
      <c r="D207" s="8"/>
      <c r="E207" s="8"/>
      <c r="F207" s="129"/>
      <c r="G207" s="8"/>
      <c r="L207" s="128"/>
      <c r="Q207" s="128"/>
    </row>
    <row r="208">
      <c r="B208" s="8"/>
      <c r="C208" s="8"/>
      <c r="D208" s="8"/>
      <c r="E208" s="8"/>
      <c r="F208" s="129"/>
      <c r="G208" s="8"/>
      <c r="L208" s="128"/>
      <c r="Q208" s="128"/>
    </row>
    <row r="209">
      <c r="B209" s="8"/>
      <c r="C209" s="8"/>
      <c r="D209" s="8"/>
      <c r="E209" s="8"/>
      <c r="F209" s="129"/>
      <c r="G209" s="8"/>
      <c r="L209" s="128"/>
      <c r="Q209" s="128"/>
    </row>
    <row r="210">
      <c r="B210" s="8"/>
      <c r="C210" s="8"/>
      <c r="D210" s="8"/>
      <c r="E210" s="8"/>
      <c r="F210" s="129"/>
      <c r="G210" s="8"/>
      <c r="L210" s="128"/>
      <c r="Q210" s="128"/>
    </row>
    <row r="211">
      <c r="B211" s="8"/>
      <c r="C211" s="8"/>
      <c r="D211" s="8"/>
      <c r="E211" s="8"/>
      <c r="F211" s="129"/>
      <c r="G211" s="8"/>
      <c r="L211" s="128"/>
      <c r="Q211" s="128"/>
    </row>
    <row r="212">
      <c r="B212" s="8"/>
      <c r="C212" s="8"/>
      <c r="D212" s="8"/>
      <c r="E212" s="8"/>
      <c r="F212" s="129"/>
      <c r="G212" s="8"/>
      <c r="L212" s="128"/>
      <c r="Q212" s="128"/>
    </row>
    <row r="213">
      <c r="B213" s="8"/>
      <c r="C213" s="8"/>
      <c r="D213" s="8"/>
      <c r="E213" s="8"/>
      <c r="F213" s="129"/>
      <c r="G213" s="8"/>
      <c r="L213" s="128"/>
      <c r="Q213" s="128"/>
    </row>
    <row r="214">
      <c r="B214" s="8"/>
      <c r="C214" s="8"/>
      <c r="D214" s="8"/>
      <c r="E214" s="8"/>
      <c r="F214" s="129"/>
      <c r="G214" s="8"/>
      <c r="L214" s="128"/>
      <c r="Q214" s="128"/>
    </row>
    <row r="215">
      <c r="B215" s="8"/>
      <c r="C215" s="8"/>
      <c r="D215" s="8"/>
      <c r="E215" s="8"/>
      <c r="F215" s="129"/>
      <c r="G215" s="8"/>
      <c r="L215" s="128"/>
      <c r="Q215" s="128"/>
    </row>
    <row r="216">
      <c r="B216" s="8"/>
      <c r="C216" s="8"/>
      <c r="D216" s="8"/>
      <c r="E216" s="8"/>
      <c r="F216" s="129"/>
      <c r="G216" s="8"/>
      <c r="L216" s="128"/>
      <c r="Q216" s="128"/>
    </row>
    <row r="217">
      <c r="B217" s="8"/>
      <c r="C217" s="8"/>
      <c r="D217" s="8"/>
      <c r="E217" s="8"/>
      <c r="F217" s="129"/>
      <c r="G217" s="8"/>
      <c r="L217" s="128"/>
      <c r="Q217" s="128"/>
    </row>
    <row r="218">
      <c r="B218" s="8"/>
      <c r="C218" s="8"/>
      <c r="D218" s="8"/>
      <c r="E218" s="8"/>
      <c r="F218" s="129"/>
      <c r="G218" s="8"/>
      <c r="L218" s="128"/>
      <c r="Q218" s="128"/>
    </row>
    <row r="219">
      <c r="B219" s="8"/>
      <c r="C219" s="8"/>
      <c r="D219" s="8"/>
      <c r="E219" s="8"/>
      <c r="F219" s="129"/>
      <c r="G219" s="8"/>
      <c r="L219" s="128"/>
      <c r="Q219" s="128"/>
    </row>
    <row r="220">
      <c r="B220" s="8"/>
      <c r="C220" s="8"/>
      <c r="D220" s="8"/>
      <c r="E220" s="8"/>
      <c r="F220" s="129"/>
      <c r="G220" s="8"/>
      <c r="L220" s="128"/>
      <c r="Q220" s="128"/>
    </row>
    <row r="221">
      <c r="B221" s="8"/>
      <c r="C221" s="8"/>
      <c r="D221" s="8"/>
      <c r="E221" s="8"/>
      <c r="F221" s="129"/>
      <c r="G221" s="8"/>
      <c r="L221" s="128"/>
      <c r="Q221" s="128"/>
    </row>
    <row r="222">
      <c r="B222" s="8"/>
      <c r="C222" s="8"/>
      <c r="D222" s="8"/>
      <c r="E222" s="8"/>
      <c r="F222" s="129"/>
      <c r="G222" s="8"/>
      <c r="L222" s="128"/>
      <c r="Q222" s="128"/>
    </row>
    <row r="223">
      <c r="B223" s="8"/>
      <c r="C223" s="8"/>
      <c r="D223" s="8"/>
      <c r="E223" s="8"/>
      <c r="F223" s="129"/>
      <c r="G223" s="8"/>
      <c r="L223" s="128"/>
      <c r="Q223" s="128"/>
    </row>
    <row r="224">
      <c r="B224" s="8"/>
      <c r="C224" s="8"/>
      <c r="D224" s="8"/>
      <c r="E224" s="8"/>
      <c r="F224" s="129"/>
      <c r="G224" s="8"/>
      <c r="L224" s="128"/>
      <c r="Q224" s="128"/>
    </row>
    <row r="225">
      <c r="B225" s="8"/>
      <c r="C225" s="8"/>
      <c r="D225" s="8"/>
      <c r="E225" s="8"/>
      <c r="F225" s="129"/>
      <c r="G225" s="8"/>
      <c r="L225" s="128"/>
      <c r="Q225" s="128"/>
    </row>
    <row r="226">
      <c r="B226" s="8"/>
      <c r="C226" s="8"/>
      <c r="D226" s="8"/>
      <c r="E226" s="8"/>
      <c r="F226" s="129"/>
      <c r="G226" s="8"/>
      <c r="L226" s="128"/>
      <c r="Q226" s="128"/>
    </row>
    <row r="227">
      <c r="B227" s="8"/>
      <c r="C227" s="8"/>
      <c r="D227" s="8"/>
      <c r="E227" s="8"/>
      <c r="F227" s="129"/>
      <c r="G227" s="8"/>
      <c r="L227" s="128"/>
      <c r="Q227" s="128"/>
    </row>
    <row r="228">
      <c r="B228" s="8"/>
      <c r="C228" s="8"/>
      <c r="D228" s="8"/>
      <c r="E228" s="8"/>
      <c r="F228" s="129"/>
      <c r="G228" s="8"/>
      <c r="L228" s="128"/>
      <c r="Q228" s="128"/>
    </row>
    <row r="229">
      <c r="B229" s="8"/>
      <c r="C229" s="8"/>
      <c r="D229" s="8"/>
      <c r="E229" s="8"/>
      <c r="F229" s="129"/>
      <c r="G229" s="8"/>
      <c r="L229" s="128"/>
      <c r="Q229" s="128"/>
    </row>
    <row r="230">
      <c r="B230" s="8"/>
      <c r="C230" s="8"/>
      <c r="D230" s="8"/>
      <c r="E230" s="8"/>
      <c r="F230" s="129"/>
      <c r="G230" s="8"/>
      <c r="L230" s="128"/>
      <c r="Q230" s="128"/>
    </row>
    <row r="231">
      <c r="B231" s="8"/>
      <c r="C231" s="8"/>
      <c r="D231" s="8"/>
      <c r="E231" s="8"/>
      <c r="F231" s="129"/>
      <c r="G231" s="8"/>
      <c r="L231" s="128"/>
      <c r="Q231" s="128"/>
    </row>
    <row r="232">
      <c r="B232" s="8"/>
      <c r="C232" s="8"/>
      <c r="D232" s="8"/>
      <c r="E232" s="8"/>
      <c r="F232" s="129"/>
      <c r="G232" s="8"/>
      <c r="L232" s="128"/>
      <c r="Q232" s="128"/>
    </row>
    <row r="233">
      <c r="B233" s="8"/>
      <c r="C233" s="8"/>
      <c r="D233" s="8"/>
      <c r="E233" s="8"/>
      <c r="F233" s="129"/>
      <c r="G233" s="8"/>
      <c r="L233" s="128"/>
      <c r="Q233" s="128"/>
    </row>
    <row r="234">
      <c r="B234" s="8"/>
      <c r="C234" s="8"/>
      <c r="D234" s="8"/>
      <c r="E234" s="8"/>
      <c r="F234" s="129"/>
      <c r="G234" s="8"/>
      <c r="L234" s="128"/>
      <c r="Q234" s="128"/>
    </row>
    <row r="235">
      <c r="B235" s="8"/>
      <c r="C235" s="8"/>
      <c r="D235" s="8"/>
      <c r="E235" s="8"/>
      <c r="F235" s="129"/>
      <c r="G235" s="8"/>
      <c r="L235" s="128"/>
      <c r="Q235" s="128"/>
    </row>
    <row r="236">
      <c r="B236" s="8"/>
      <c r="C236" s="8"/>
      <c r="D236" s="8"/>
      <c r="E236" s="8"/>
      <c r="F236" s="129"/>
      <c r="G236" s="8"/>
      <c r="L236" s="128"/>
      <c r="Q236" s="128"/>
    </row>
    <row r="237">
      <c r="B237" s="8"/>
      <c r="C237" s="8"/>
      <c r="D237" s="8"/>
      <c r="E237" s="8"/>
      <c r="F237" s="129"/>
      <c r="G237" s="8"/>
      <c r="L237" s="128"/>
      <c r="Q237" s="128"/>
    </row>
    <row r="238">
      <c r="B238" s="8"/>
      <c r="C238" s="8"/>
      <c r="D238" s="8"/>
      <c r="E238" s="8"/>
      <c r="F238" s="129"/>
      <c r="G238" s="8"/>
      <c r="L238" s="128"/>
      <c r="Q238" s="128"/>
    </row>
    <row r="239">
      <c r="B239" s="8"/>
      <c r="C239" s="8"/>
      <c r="D239" s="8"/>
      <c r="E239" s="8"/>
      <c r="F239" s="129"/>
      <c r="G239" s="8"/>
      <c r="L239" s="128"/>
      <c r="Q239" s="128"/>
    </row>
    <row r="240">
      <c r="B240" s="8"/>
      <c r="C240" s="8"/>
      <c r="D240" s="8"/>
      <c r="E240" s="8"/>
      <c r="F240" s="129"/>
      <c r="G240" s="8"/>
      <c r="L240" s="128"/>
      <c r="Q240" s="128"/>
    </row>
    <row r="241">
      <c r="B241" s="8"/>
      <c r="C241" s="8"/>
      <c r="D241" s="8"/>
      <c r="E241" s="8"/>
      <c r="F241" s="129"/>
      <c r="G241" s="8"/>
      <c r="L241" s="128"/>
      <c r="Q241" s="128"/>
    </row>
    <row r="242">
      <c r="B242" s="8"/>
      <c r="C242" s="8"/>
      <c r="D242" s="8"/>
      <c r="E242" s="8"/>
      <c r="F242" s="129"/>
      <c r="G242" s="8"/>
      <c r="L242" s="128"/>
      <c r="Q242" s="128"/>
    </row>
    <row r="243">
      <c r="B243" s="8"/>
      <c r="C243" s="8"/>
      <c r="D243" s="8"/>
      <c r="E243" s="8"/>
      <c r="F243" s="129"/>
      <c r="G243" s="8"/>
      <c r="L243" s="128"/>
      <c r="Q243" s="128"/>
    </row>
    <row r="244">
      <c r="B244" s="8"/>
      <c r="C244" s="8"/>
      <c r="D244" s="8"/>
      <c r="E244" s="8"/>
      <c r="F244" s="129"/>
      <c r="G244" s="8"/>
      <c r="L244" s="128"/>
      <c r="Q244" s="128"/>
    </row>
    <row r="245">
      <c r="B245" s="8"/>
      <c r="C245" s="8"/>
      <c r="D245" s="8"/>
      <c r="E245" s="8"/>
      <c r="F245" s="129"/>
      <c r="G245" s="8"/>
      <c r="L245" s="128"/>
      <c r="Q245" s="128"/>
    </row>
    <row r="246">
      <c r="B246" s="8"/>
      <c r="C246" s="8"/>
      <c r="D246" s="8"/>
      <c r="E246" s="8"/>
      <c r="F246" s="129"/>
      <c r="G246" s="8"/>
      <c r="L246" s="128"/>
      <c r="Q246" s="128"/>
    </row>
    <row r="247">
      <c r="B247" s="8"/>
      <c r="C247" s="8"/>
      <c r="D247" s="8"/>
      <c r="E247" s="8"/>
      <c r="F247" s="129"/>
      <c r="G247" s="8"/>
      <c r="L247" s="128"/>
      <c r="Q247" s="128"/>
    </row>
    <row r="248">
      <c r="B248" s="8"/>
      <c r="C248" s="8"/>
      <c r="D248" s="8"/>
      <c r="E248" s="8"/>
      <c r="F248" s="129"/>
      <c r="G248" s="8"/>
      <c r="L248" s="128"/>
      <c r="Q248" s="128"/>
    </row>
    <row r="249">
      <c r="B249" s="8"/>
      <c r="C249" s="8"/>
      <c r="D249" s="8"/>
      <c r="E249" s="8"/>
      <c r="F249" s="129"/>
      <c r="G249" s="8"/>
      <c r="L249" s="128"/>
      <c r="Q249" s="128"/>
    </row>
    <row r="250">
      <c r="B250" s="8"/>
      <c r="C250" s="8"/>
      <c r="D250" s="8"/>
      <c r="E250" s="8"/>
      <c r="F250" s="129"/>
      <c r="G250" s="8"/>
      <c r="L250" s="128"/>
      <c r="Q250" s="128"/>
    </row>
    <row r="251">
      <c r="B251" s="8"/>
      <c r="C251" s="8"/>
      <c r="D251" s="8"/>
      <c r="E251" s="8"/>
      <c r="F251" s="129"/>
      <c r="G251" s="8"/>
      <c r="L251" s="128"/>
      <c r="Q251" s="128"/>
    </row>
    <row r="252">
      <c r="B252" s="8"/>
      <c r="C252" s="8"/>
      <c r="D252" s="8"/>
      <c r="E252" s="8"/>
      <c r="F252" s="129"/>
      <c r="G252" s="8"/>
      <c r="L252" s="128"/>
      <c r="Q252" s="128"/>
    </row>
    <row r="253">
      <c r="B253" s="8"/>
      <c r="C253" s="8"/>
      <c r="D253" s="8"/>
      <c r="E253" s="8"/>
      <c r="F253" s="129"/>
      <c r="G253" s="8"/>
      <c r="L253" s="128"/>
      <c r="Q253" s="128"/>
    </row>
    <row r="254">
      <c r="B254" s="8"/>
      <c r="C254" s="8"/>
      <c r="D254" s="8"/>
      <c r="E254" s="8"/>
      <c r="F254" s="129"/>
      <c r="G254" s="8"/>
      <c r="L254" s="128"/>
      <c r="Q254" s="128"/>
    </row>
    <row r="255">
      <c r="B255" s="8"/>
      <c r="C255" s="8"/>
      <c r="D255" s="8"/>
      <c r="E255" s="8"/>
      <c r="F255" s="129"/>
      <c r="G255" s="8"/>
      <c r="L255" s="128"/>
      <c r="Q255" s="128"/>
    </row>
    <row r="256">
      <c r="B256" s="8"/>
      <c r="C256" s="8"/>
      <c r="D256" s="8"/>
      <c r="E256" s="8"/>
      <c r="F256" s="129"/>
      <c r="G256" s="8"/>
      <c r="L256" s="128"/>
      <c r="Q256" s="128"/>
    </row>
    <row r="257">
      <c r="B257" s="8"/>
      <c r="C257" s="8"/>
      <c r="D257" s="8"/>
      <c r="E257" s="8"/>
      <c r="F257" s="129"/>
      <c r="G257" s="8"/>
      <c r="L257" s="128"/>
      <c r="Q257" s="128"/>
    </row>
    <row r="258">
      <c r="B258" s="8"/>
      <c r="C258" s="8"/>
      <c r="D258" s="8"/>
      <c r="E258" s="8"/>
      <c r="F258" s="129"/>
      <c r="G258" s="8"/>
      <c r="L258" s="128"/>
      <c r="Q258" s="128"/>
    </row>
    <row r="259">
      <c r="B259" s="8"/>
      <c r="C259" s="8"/>
      <c r="D259" s="8"/>
      <c r="E259" s="8"/>
      <c r="F259" s="129"/>
      <c r="G259" s="8"/>
      <c r="L259" s="128"/>
      <c r="Q259" s="128"/>
    </row>
    <row r="260">
      <c r="B260" s="8"/>
      <c r="C260" s="8"/>
      <c r="D260" s="8"/>
      <c r="E260" s="8"/>
      <c r="F260" s="129"/>
      <c r="G260" s="8"/>
      <c r="L260" s="128"/>
      <c r="Q260" s="128"/>
    </row>
    <row r="261">
      <c r="B261" s="8"/>
      <c r="C261" s="8"/>
      <c r="D261" s="8"/>
      <c r="E261" s="8"/>
      <c r="F261" s="129"/>
      <c r="G261" s="8"/>
      <c r="L261" s="128"/>
      <c r="Q261" s="128"/>
    </row>
    <row r="262">
      <c r="B262" s="8"/>
      <c r="C262" s="8"/>
      <c r="D262" s="8"/>
      <c r="E262" s="8"/>
      <c r="F262" s="129"/>
      <c r="G262" s="8"/>
      <c r="L262" s="128"/>
      <c r="Q262" s="128"/>
    </row>
    <row r="263">
      <c r="B263" s="8"/>
      <c r="C263" s="8"/>
      <c r="D263" s="8"/>
      <c r="E263" s="8"/>
      <c r="F263" s="129"/>
      <c r="G263" s="8"/>
      <c r="L263" s="128"/>
      <c r="Q263" s="128"/>
    </row>
    <row r="264">
      <c r="B264" s="8"/>
      <c r="C264" s="8"/>
      <c r="D264" s="8"/>
      <c r="E264" s="8"/>
      <c r="F264" s="129"/>
      <c r="G264" s="8"/>
      <c r="L264" s="128"/>
      <c r="Q264" s="128"/>
    </row>
    <row r="265">
      <c r="B265" s="8"/>
      <c r="C265" s="8"/>
      <c r="D265" s="8"/>
      <c r="E265" s="8"/>
      <c r="F265" s="129"/>
      <c r="G265" s="8"/>
      <c r="L265" s="128"/>
      <c r="Q265" s="128"/>
    </row>
    <row r="266">
      <c r="B266" s="8"/>
      <c r="C266" s="8"/>
      <c r="D266" s="8"/>
      <c r="E266" s="8"/>
      <c r="F266" s="129"/>
      <c r="G266" s="8"/>
      <c r="L266" s="128"/>
      <c r="Q266" s="128"/>
    </row>
    <row r="267">
      <c r="B267" s="8"/>
      <c r="C267" s="8"/>
      <c r="D267" s="8"/>
      <c r="E267" s="8"/>
      <c r="F267" s="129"/>
      <c r="G267" s="8"/>
      <c r="L267" s="128"/>
      <c r="Q267" s="128"/>
    </row>
    <row r="268">
      <c r="B268" s="8"/>
      <c r="C268" s="8"/>
      <c r="D268" s="8"/>
      <c r="E268" s="8"/>
      <c r="F268" s="129"/>
      <c r="G268" s="8"/>
      <c r="L268" s="128"/>
      <c r="Q268" s="128"/>
    </row>
    <row r="269">
      <c r="B269" s="8"/>
      <c r="C269" s="8"/>
      <c r="D269" s="8"/>
      <c r="E269" s="8"/>
      <c r="F269" s="129"/>
      <c r="G269" s="8"/>
      <c r="L269" s="128"/>
      <c r="Q269" s="128"/>
    </row>
    <row r="270">
      <c r="B270" s="8"/>
      <c r="C270" s="8"/>
      <c r="D270" s="8"/>
      <c r="E270" s="8"/>
      <c r="F270" s="129"/>
      <c r="G270" s="8"/>
      <c r="L270" s="128"/>
      <c r="Q270" s="128"/>
    </row>
    <row r="271">
      <c r="B271" s="8"/>
      <c r="C271" s="8"/>
      <c r="D271" s="8"/>
      <c r="E271" s="8"/>
      <c r="F271" s="129"/>
      <c r="G271" s="8"/>
      <c r="L271" s="128"/>
      <c r="Q271" s="128"/>
    </row>
    <row r="272">
      <c r="B272" s="8"/>
      <c r="C272" s="8"/>
      <c r="D272" s="8"/>
      <c r="E272" s="8"/>
      <c r="F272" s="129"/>
      <c r="G272" s="8"/>
      <c r="L272" s="128"/>
      <c r="Q272" s="128"/>
    </row>
    <row r="273">
      <c r="B273" s="8"/>
      <c r="C273" s="8"/>
      <c r="D273" s="8"/>
      <c r="E273" s="8"/>
      <c r="F273" s="129"/>
      <c r="G273" s="8"/>
      <c r="L273" s="128"/>
      <c r="Q273" s="128"/>
    </row>
    <row r="274">
      <c r="B274" s="8"/>
      <c r="C274" s="8"/>
      <c r="D274" s="8"/>
      <c r="E274" s="8"/>
      <c r="F274" s="129"/>
      <c r="G274" s="8"/>
      <c r="L274" s="128"/>
      <c r="Q274" s="128"/>
    </row>
    <row r="275">
      <c r="B275" s="8"/>
      <c r="C275" s="8"/>
      <c r="D275" s="8"/>
      <c r="E275" s="8"/>
      <c r="F275" s="129"/>
      <c r="G275" s="8"/>
      <c r="L275" s="128"/>
      <c r="Q275" s="128"/>
    </row>
    <row r="276">
      <c r="B276" s="8"/>
      <c r="C276" s="8"/>
      <c r="D276" s="8"/>
      <c r="E276" s="8"/>
      <c r="F276" s="129"/>
      <c r="G276" s="8"/>
      <c r="L276" s="128"/>
      <c r="Q276" s="128"/>
    </row>
    <row r="277">
      <c r="B277" s="8"/>
      <c r="C277" s="8"/>
      <c r="D277" s="8"/>
      <c r="E277" s="8"/>
      <c r="F277" s="129"/>
      <c r="G277" s="8"/>
      <c r="L277" s="128"/>
      <c r="Q277" s="128"/>
    </row>
    <row r="278">
      <c r="B278" s="8"/>
      <c r="C278" s="8"/>
      <c r="D278" s="8"/>
      <c r="E278" s="8"/>
      <c r="F278" s="129"/>
      <c r="G278" s="8"/>
      <c r="L278" s="128"/>
      <c r="Q278" s="128"/>
    </row>
    <row r="279">
      <c r="B279" s="8"/>
      <c r="C279" s="8"/>
      <c r="D279" s="8"/>
      <c r="E279" s="8"/>
      <c r="F279" s="129"/>
      <c r="G279" s="8"/>
      <c r="L279" s="128"/>
      <c r="Q279" s="128"/>
    </row>
    <row r="280">
      <c r="B280" s="8"/>
      <c r="C280" s="8"/>
      <c r="D280" s="8"/>
      <c r="E280" s="8"/>
      <c r="F280" s="129"/>
      <c r="G280" s="8"/>
      <c r="L280" s="128"/>
      <c r="Q280" s="128"/>
    </row>
    <row r="281">
      <c r="B281" s="8"/>
      <c r="C281" s="8"/>
      <c r="D281" s="8"/>
      <c r="E281" s="8"/>
      <c r="F281" s="129"/>
      <c r="G281" s="8"/>
      <c r="L281" s="128"/>
      <c r="Q281" s="128"/>
    </row>
    <row r="282">
      <c r="B282" s="8"/>
      <c r="C282" s="8"/>
      <c r="D282" s="8"/>
      <c r="E282" s="8"/>
      <c r="F282" s="129"/>
      <c r="G282" s="8"/>
      <c r="L282" s="128"/>
      <c r="Q282" s="128"/>
    </row>
    <row r="283">
      <c r="B283" s="8"/>
      <c r="C283" s="8"/>
      <c r="D283" s="8"/>
      <c r="E283" s="8"/>
      <c r="F283" s="129"/>
      <c r="G283" s="8"/>
      <c r="L283" s="128"/>
      <c r="Q283" s="128"/>
    </row>
    <row r="284">
      <c r="B284" s="8"/>
      <c r="C284" s="8"/>
      <c r="D284" s="8"/>
      <c r="E284" s="8"/>
      <c r="F284" s="129"/>
      <c r="G284" s="8"/>
      <c r="L284" s="128"/>
      <c r="Q284" s="128"/>
    </row>
    <row r="285">
      <c r="B285" s="8"/>
      <c r="C285" s="8"/>
      <c r="D285" s="8"/>
      <c r="E285" s="8"/>
      <c r="F285" s="129"/>
      <c r="G285" s="8"/>
      <c r="L285" s="128"/>
      <c r="Q285" s="128"/>
    </row>
    <row r="286">
      <c r="B286" s="8"/>
      <c r="C286" s="8"/>
      <c r="D286" s="8"/>
      <c r="E286" s="8"/>
      <c r="F286" s="129"/>
      <c r="G286" s="8"/>
      <c r="L286" s="128"/>
      <c r="Q286" s="128"/>
    </row>
    <row r="287">
      <c r="B287" s="8"/>
      <c r="C287" s="8"/>
      <c r="D287" s="8"/>
      <c r="E287" s="8"/>
      <c r="F287" s="129"/>
      <c r="G287" s="8"/>
      <c r="L287" s="128"/>
      <c r="Q287" s="128"/>
    </row>
    <row r="288">
      <c r="B288" s="8"/>
      <c r="C288" s="8"/>
      <c r="D288" s="8"/>
      <c r="E288" s="8"/>
      <c r="F288" s="129"/>
      <c r="G288" s="8"/>
      <c r="L288" s="128"/>
      <c r="Q288" s="128"/>
    </row>
    <row r="289">
      <c r="B289" s="8"/>
      <c r="C289" s="8"/>
      <c r="D289" s="8"/>
      <c r="E289" s="8"/>
      <c r="F289" s="129"/>
      <c r="G289" s="8"/>
      <c r="L289" s="128"/>
      <c r="Q289" s="128"/>
    </row>
    <row r="290">
      <c r="B290" s="8"/>
      <c r="C290" s="8"/>
      <c r="D290" s="8"/>
      <c r="E290" s="8"/>
      <c r="F290" s="129"/>
      <c r="G290" s="8"/>
      <c r="L290" s="128"/>
      <c r="Q290" s="128"/>
    </row>
    <row r="291">
      <c r="B291" s="8"/>
      <c r="C291" s="8"/>
      <c r="D291" s="8"/>
      <c r="E291" s="8"/>
      <c r="F291" s="129"/>
      <c r="G291" s="8"/>
      <c r="L291" s="128"/>
      <c r="Q291" s="128"/>
    </row>
    <row r="292">
      <c r="B292" s="8"/>
      <c r="C292" s="8"/>
      <c r="D292" s="8"/>
      <c r="E292" s="8"/>
      <c r="F292" s="129"/>
      <c r="G292" s="8"/>
      <c r="L292" s="128"/>
      <c r="Q292" s="128"/>
    </row>
    <row r="293">
      <c r="B293" s="8"/>
      <c r="C293" s="8"/>
      <c r="D293" s="8"/>
      <c r="E293" s="8"/>
      <c r="F293" s="129"/>
      <c r="G293" s="8"/>
      <c r="L293" s="128"/>
      <c r="Q293" s="128"/>
    </row>
    <row r="294">
      <c r="B294" s="8"/>
      <c r="C294" s="8"/>
      <c r="D294" s="8"/>
      <c r="E294" s="8"/>
      <c r="F294" s="129"/>
      <c r="G294" s="8"/>
      <c r="L294" s="128"/>
      <c r="Q294" s="128"/>
    </row>
    <row r="295">
      <c r="B295" s="8"/>
      <c r="C295" s="8"/>
      <c r="D295" s="8"/>
      <c r="E295" s="8"/>
      <c r="F295" s="129"/>
      <c r="G295" s="8"/>
      <c r="L295" s="128"/>
      <c r="Q295" s="128"/>
    </row>
    <row r="296">
      <c r="B296" s="8"/>
      <c r="C296" s="8"/>
      <c r="D296" s="8"/>
      <c r="E296" s="8"/>
      <c r="F296" s="129"/>
      <c r="G296" s="8"/>
      <c r="L296" s="128"/>
      <c r="Q296" s="128"/>
    </row>
    <row r="297">
      <c r="B297" s="8"/>
      <c r="C297" s="8"/>
      <c r="D297" s="8"/>
      <c r="E297" s="8"/>
      <c r="F297" s="129"/>
      <c r="G297" s="8"/>
      <c r="L297" s="128"/>
      <c r="Q297" s="128"/>
    </row>
    <row r="298">
      <c r="B298" s="8"/>
      <c r="C298" s="8"/>
      <c r="D298" s="8"/>
      <c r="E298" s="8"/>
      <c r="F298" s="129"/>
      <c r="G298" s="8"/>
      <c r="L298" s="128"/>
      <c r="Q298" s="128"/>
    </row>
    <row r="299">
      <c r="B299" s="8"/>
      <c r="C299" s="8"/>
      <c r="D299" s="8"/>
      <c r="E299" s="8"/>
      <c r="F299" s="129"/>
      <c r="G299" s="8"/>
      <c r="L299" s="128"/>
      <c r="Q299" s="128"/>
    </row>
    <row r="300">
      <c r="B300" s="8"/>
      <c r="C300" s="8"/>
      <c r="D300" s="8"/>
      <c r="E300" s="8"/>
      <c r="F300" s="129"/>
      <c r="G300" s="8"/>
      <c r="L300" s="128"/>
      <c r="Q300" s="128"/>
    </row>
    <row r="301">
      <c r="B301" s="8"/>
      <c r="C301" s="8"/>
      <c r="D301" s="8"/>
      <c r="E301" s="8"/>
      <c r="F301" s="129"/>
      <c r="G301" s="8"/>
      <c r="L301" s="128"/>
      <c r="Q301" s="128"/>
    </row>
    <row r="302">
      <c r="B302" s="8"/>
      <c r="C302" s="8"/>
      <c r="D302" s="8"/>
      <c r="E302" s="8"/>
      <c r="F302" s="129"/>
      <c r="G302" s="8"/>
      <c r="L302" s="128"/>
      <c r="Q302" s="128"/>
    </row>
    <row r="303">
      <c r="B303" s="8"/>
      <c r="C303" s="8"/>
      <c r="D303" s="8"/>
      <c r="E303" s="8"/>
      <c r="F303" s="129"/>
      <c r="G303" s="8"/>
      <c r="L303" s="128"/>
      <c r="Q303" s="128"/>
    </row>
    <row r="304">
      <c r="B304" s="8"/>
      <c r="C304" s="8"/>
      <c r="D304" s="8"/>
      <c r="E304" s="8"/>
      <c r="F304" s="129"/>
      <c r="G304" s="8"/>
      <c r="L304" s="128"/>
      <c r="Q304" s="128"/>
    </row>
    <row r="305">
      <c r="B305" s="8"/>
      <c r="C305" s="8"/>
      <c r="D305" s="8"/>
      <c r="E305" s="8"/>
      <c r="F305" s="129"/>
      <c r="G305" s="8"/>
      <c r="L305" s="128"/>
      <c r="Q305" s="128"/>
    </row>
    <row r="306">
      <c r="B306" s="8"/>
      <c r="C306" s="8"/>
      <c r="D306" s="8"/>
      <c r="E306" s="8"/>
      <c r="F306" s="129"/>
      <c r="G306" s="8"/>
      <c r="L306" s="128"/>
      <c r="Q306" s="128"/>
    </row>
    <row r="307">
      <c r="B307" s="8"/>
      <c r="C307" s="8"/>
      <c r="D307" s="8"/>
      <c r="E307" s="8"/>
      <c r="F307" s="129"/>
      <c r="G307" s="8"/>
      <c r="L307" s="128"/>
      <c r="Q307" s="128"/>
    </row>
    <row r="308">
      <c r="B308" s="8"/>
      <c r="C308" s="8"/>
      <c r="D308" s="8"/>
      <c r="E308" s="8"/>
      <c r="F308" s="129"/>
      <c r="G308" s="8"/>
      <c r="L308" s="128"/>
      <c r="Q308" s="128"/>
    </row>
    <row r="309">
      <c r="B309" s="8"/>
      <c r="C309" s="8"/>
      <c r="D309" s="8"/>
      <c r="E309" s="8"/>
      <c r="F309" s="129"/>
      <c r="G309" s="8"/>
      <c r="L309" s="128"/>
      <c r="Q309" s="128"/>
    </row>
    <row r="310">
      <c r="B310" s="8"/>
      <c r="C310" s="8"/>
      <c r="D310" s="8"/>
      <c r="E310" s="8"/>
      <c r="F310" s="129"/>
      <c r="G310" s="8"/>
      <c r="L310" s="128"/>
      <c r="Q310" s="128"/>
    </row>
    <row r="311">
      <c r="B311" s="8"/>
      <c r="C311" s="8"/>
      <c r="D311" s="8"/>
      <c r="E311" s="8"/>
      <c r="F311" s="129"/>
      <c r="G311" s="8"/>
      <c r="L311" s="128"/>
      <c r="Q311" s="128"/>
    </row>
    <row r="312">
      <c r="B312" s="8"/>
      <c r="C312" s="8"/>
      <c r="D312" s="8"/>
      <c r="E312" s="8"/>
      <c r="F312" s="129"/>
      <c r="G312" s="8"/>
      <c r="L312" s="128"/>
      <c r="Q312" s="128"/>
    </row>
    <row r="313">
      <c r="B313" s="8"/>
      <c r="C313" s="8"/>
      <c r="D313" s="8"/>
      <c r="E313" s="8"/>
      <c r="F313" s="129"/>
      <c r="G313" s="8"/>
      <c r="L313" s="128"/>
      <c r="Q313" s="128"/>
    </row>
    <row r="314">
      <c r="B314" s="8"/>
      <c r="C314" s="8"/>
      <c r="D314" s="8"/>
      <c r="E314" s="8"/>
      <c r="F314" s="129"/>
      <c r="G314" s="8"/>
      <c r="L314" s="128"/>
      <c r="Q314" s="128"/>
    </row>
    <row r="315">
      <c r="B315" s="8"/>
      <c r="C315" s="8"/>
      <c r="D315" s="8"/>
      <c r="E315" s="8"/>
      <c r="F315" s="129"/>
      <c r="G315" s="8"/>
      <c r="L315" s="128"/>
      <c r="Q315" s="128"/>
    </row>
    <row r="316">
      <c r="B316" s="8"/>
      <c r="C316" s="8"/>
      <c r="D316" s="8"/>
      <c r="E316" s="8"/>
      <c r="F316" s="129"/>
      <c r="G316" s="8"/>
      <c r="L316" s="128"/>
      <c r="Q316" s="128"/>
    </row>
    <row r="317">
      <c r="B317" s="8"/>
      <c r="C317" s="8"/>
      <c r="D317" s="8"/>
      <c r="E317" s="8"/>
      <c r="F317" s="129"/>
      <c r="G317" s="8"/>
      <c r="L317" s="128"/>
      <c r="Q317" s="128"/>
    </row>
    <row r="318">
      <c r="B318" s="8"/>
      <c r="C318" s="8"/>
      <c r="D318" s="8"/>
      <c r="E318" s="8"/>
      <c r="F318" s="129"/>
      <c r="G318" s="8"/>
      <c r="L318" s="128"/>
      <c r="Q318" s="128"/>
    </row>
    <row r="319">
      <c r="B319" s="8"/>
      <c r="C319" s="8"/>
      <c r="D319" s="8"/>
      <c r="E319" s="8"/>
      <c r="F319" s="129"/>
      <c r="G319" s="8"/>
      <c r="L319" s="128"/>
      <c r="Q319" s="128"/>
    </row>
    <row r="320">
      <c r="B320" s="8"/>
      <c r="C320" s="8"/>
      <c r="D320" s="8"/>
      <c r="E320" s="8"/>
      <c r="F320" s="129"/>
      <c r="G320" s="8"/>
      <c r="L320" s="128"/>
      <c r="Q320" s="128"/>
    </row>
    <row r="321">
      <c r="B321" s="8"/>
      <c r="C321" s="8"/>
      <c r="D321" s="8"/>
      <c r="E321" s="8"/>
      <c r="F321" s="129"/>
      <c r="G321" s="8"/>
      <c r="L321" s="128"/>
      <c r="Q321" s="128"/>
    </row>
    <row r="322">
      <c r="B322" s="8"/>
      <c r="C322" s="8"/>
      <c r="D322" s="8"/>
      <c r="E322" s="8"/>
      <c r="F322" s="129"/>
      <c r="G322" s="8"/>
      <c r="L322" s="128"/>
      <c r="Q322" s="128"/>
    </row>
    <row r="323">
      <c r="B323" s="8"/>
      <c r="C323" s="8"/>
      <c r="D323" s="8"/>
      <c r="E323" s="8"/>
      <c r="F323" s="129"/>
      <c r="G323" s="8"/>
      <c r="L323" s="128"/>
      <c r="Q323" s="128"/>
    </row>
    <row r="324">
      <c r="B324" s="8"/>
      <c r="C324" s="8"/>
      <c r="D324" s="8"/>
      <c r="E324" s="8"/>
      <c r="F324" s="129"/>
      <c r="G324" s="8"/>
      <c r="L324" s="128"/>
      <c r="Q324" s="128"/>
    </row>
    <row r="325">
      <c r="B325" s="8"/>
      <c r="C325" s="8"/>
      <c r="D325" s="8"/>
      <c r="E325" s="8"/>
      <c r="F325" s="129"/>
      <c r="G325" s="8"/>
      <c r="L325" s="128"/>
      <c r="Q325" s="128"/>
    </row>
    <row r="326">
      <c r="B326" s="8"/>
      <c r="C326" s="8"/>
      <c r="D326" s="8"/>
      <c r="E326" s="8"/>
      <c r="F326" s="129"/>
      <c r="G326" s="8"/>
      <c r="L326" s="128"/>
      <c r="Q326" s="128"/>
    </row>
    <row r="327">
      <c r="B327" s="8"/>
      <c r="C327" s="8"/>
      <c r="D327" s="8"/>
      <c r="E327" s="8"/>
      <c r="F327" s="129"/>
      <c r="G327" s="8"/>
      <c r="L327" s="128"/>
      <c r="Q327" s="128"/>
    </row>
    <row r="328">
      <c r="B328" s="8"/>
      <c r="C328" s="8"/>
      <c r="D328" s="8"/>
      <c r="E328" s="8"/>
      <c r="F328" s="129"/>
      <c r="G328" s="8"/>
      <c r="L328" s="128"/>
      <c r="Q328" s="128"/>
    </row>
    <row r="329">
      <c r="B329" s="8"/>
      <c r="C329" s="8"/>
      <c r="D329" s="8"/>
      <c r="E329" s="8"/>
      <c r="F329" s="129"/>
      <c r="G329" s="8"/>
      <c r="L329" s="128"/>
      <c r="Q329" s="128"/>
    </row>
    <row r="330">
      <c r="B330" s="8"/>
      <c r="C330" s="8"/>
      <c r="D330" s="8"/>
      <c r="E330" s="8"/>
      <c r="F330" s="129"/>
      <c r="G330" s="8"/>
      <c r="L330" s="128"/>
      <c r="Q330" s="128"/>
    </row>
    <row r="331">
      <c r="B331" s="8"/>
      <c r="C331" s="8"/>
      <c r="D331" s="8"/>
      <c r="E331" s="8"/>
      <c r="F331" s="129"/>
      <c r="G331" s="8"/>
      <c r="L331" s="128"/>
      <c r="Q331" s="128"/>
    </row>
    <row r="332">
      <c r="B332" s="8"/>
      <c r="C332" s="8"/>
      <c r="D332" s="8"/>
      <c r="E332" s="8"/>
      <c r="F332" s="129"/>
      <c r="G332" s="8"/>
      <c r="L332" s="128"/>
      <c r="Q332" s="128"/>
    </row>
    <row r="333">
      <c r="B333" s="8"/>
      <c r="C333" s="8"/>
      <c r="D333" s="8"/>
      <c r="E333" s="8"/>
      <c r="F333" s="129"/>
      <c r="G333" s="8"/>
      <c r="L333" s="128"/>
      <c r="Q333" s="128"/>
    </row>
    <row r="334">
      <c r="B334" s="8"/>
      <c r="C334" s="8"/>
      <c r="D334" s="8"/>
      <c r="E334" s="8"/>
      <c r="F334" s="129"/>
      <c r="G334" s="8"/>
      <c r="L334" s="128"/>
      <c r="Q334" s="128"/>
    </row>
    <row r="335">
      <c r="B335" s="8"/>
      <c r="C335" s="8"/>
      <c r="D335" s="8"/>
      <c r="E335" s="8"/>
      <c r="F335" s="129"/>
      <c r="G335" s="8"/>
      <c r="L335" s="128"/>
      <c r="Q335" s="128"/>
    </row>
    <row r="336">
      <c r="B336" s="8"/>
      <c r="C336" s="8"/>
      <c r="D336" s="8"/>
      <c r="E336" s="8"/>
      <c r="F336" s="129"/>
      <c r="G336" s="8"/>
      <c r="L336" s="128"/>
      <c r="Q336" s="128"/>
    </row>
    <row r="337">
      <c r="B337" s="8"/>
      <c r="C337" s="8"/>
      <c r="D337" s="8"/>
      <c r="E337" s="8"/>
      <c r="F337" s="129"/>
      <c r="G337" s="8"/>
      <c r="L337" s="128"/>
      <c r="Q337" s="128"/>
    </row>
    <row r="338">
      <c r="B338" s="8"/>
      <c r="C338" s="8"/>
      <c r="D338" s="8"/>
      <c r="E338" s="8"/>
      <c r="F338" s="129"/>
      <c r="G338" s="8"/>
      <c r="L338" s="128"/>
      <c r="Q338" s="128"/>
    </row>
    <row r="339">
      <c r="B339" s="8"/>
      <c r="C339" s="8"/>
      <c r="D339" s="8"/>
      <c r="E339" s="8"/>
      <c r="F339" s="129"/>
      <c r="G339" s="8"/>
      <c r="L339" s="128"/>
      <c r="Q339" s="128"/>
    </row>
    <row r="340">
      <c r="B340" s="8"/>
      <c r="C340" s="8"/>
      <c r="D340" s="8"/>
      <c r="E340" s="8"/>
      <c r="F340" s="129"/>
      <c r="G340" s="8"/>
      <c r="L340" s="128"/>
      <c r="Q340" s="128"/>
    </row>
    <row r="341">
      <c r="B341" s="8"/>
      <c r="C341" s="8"/>
      <c r="D341" s="8"/>
      <c r="E341" s="8"/>
      <c r="F341" s="129"/>
      <c r="G341" s="8"/>
      <c r="L341" s="128"/>
      <c r="Q341" s="128"/>
    </row>
    <row r="342">
      <c r="B342" s="8"/>
      <c r="C342" s="8"/>
      <c r="D342" s="8"/>
      <c r="E342" s="8"/>
      <c r="F342" s="129"/>
      <c r="G342" s="8"/>
      <c r="L342" s="128"/>
      <c r="Q342" s="128"/>
    </row>
    <row r="343">
      <c r="B343" s="8"/>
      <c r="C343" s="8"/>
      <c r="D343" s="8"/>
      <c r="E343" s="8"/>
      <c r="F343" s="129"/>
      <c r="G343" s="8"/>
      <c r="L343" s="128"/>
      <c r="Q343" s="128"/>
    </row>
    <row r="344">
      <c r="B344" s="8"/>
      <c r="C344" s="8"/>
      <c r="D344" s="8"/>
      <c r="E344" s="8"/>
      <c r="F344" s="129"/>
      <c r="G344" s="8"/>
      <c r="L344" s="128"/>
      <c r="Q344" s="128"/>
    </row>
    <row r="345">
      <c r="B345" s="8"/>
      <c r="C345" s="8"/>
      <c r="D345" s="8"/>
      <c r="E345" s="8"/>
      <c r="F345" s="129"/>
      <c r="G345" s="8"/>
      <c r="L345" s="128"/>
      <c r="Q345" s="128"/>
    </row>
    <row r="346">
      <c r="B346" s="8"/>
      <c r="C346" s="8"/>
      <c r="D346" s="8"/>
      <c r="E346" s="8"/>
      <c r="F346" s="129"/>
      <c r="G346" s="8"/>
      <c r="L346" s="128"/>
      <c r="Q346" s="128"/>
    </row>
    <row r="347">
      <c r="B347" s="8"/>
      <c r="C347" s="8"/>
      <c r="D347" s="8"/>
      <c r="E347" s="8"/>
      <c r="F347" s="129"/>
      <c r="G347" s="8"/>
      <c r="L347" s="128"/>
      <c r="Q347" s="128"/>
    </row>
    <row r="348">
      <c r="B348" s="8"/>
      <c r="C348" s="8"/>
      <c r="D348" s="8"/>
      <c r="E348" s="8"/>
      <c r="F348" s="129"/>
      <c r="G348" s="8"/>
      <c r="L348" s="128"/>
      <c r="Q348" s="128"/>
    </row>
    <row r="349">
      <c r="B349" s="8"/>
      <c r="C349" s="8"/>
      <c r="D349" s="8"/>
      <c r="E349" s="8"/>
      <c r="F349" s="129"/>
      <c r="G349" s="8"/>
      <c r="L349" s="128"/>
      <c r="Q349" s="128"/>
    </row>
    <row r="350">
      <c r="B350" s="8"/>
      <c r="C350" s="8"/>
      <c r="D350" s="8"/>
      <c r="E350" s="8"/>
      <c r="F350" s="129"/>
      <c r="G350" s="8"/>
      <c r="L350" s="128"/>
      <c r="Q350" s="128"/>
    </row>
    <row r="351">
      <c r="B351" s="8"/>
      <c r="C351" s="8"/>
      <c r="D351" s="8"/>
      <c r="E351" s="8"/>
      <c r="F351" s="129"/>
      <c r="G351" s="8"/>
      <c r="L351" s="128"/>
      <c r="Q351" s="128"/>
    </row>
    <row r="352">
      <c r="B352" s="8"/>
      <c r="C352" s="8"/>
      <c r="D352" s="8"/>
      <c r="E352" s="8"/>
      <c r="F352" s="129"/>
      <c r="G352" s="8"/>
      <c r="L352" s="128"/>
      <c r="Q352" s="128"/>
    </row>
    <row r="353">
      <c r="B353" s="8"/>
      <c r="C353" s="8"/>
      <c r="D353" s="8"/>
      <c r="E353" s="8"/>
      <c r="F353" s="129"/>
      <c r="G353" s="8"/>
      <c r="L353" s="128"/>
      <c r="Q353" s="128"/>
    </row>
    <row r="354">
      <c r="B354" s="8"/>
      <c r="C354" s="8"/>
      <c r="D354" s="8"/>
      <c r="E354" s="8"/>
      <c r="F354" s="129"/>
      <c r="G354" s="8"/>
      <c r="L354" s="128"/>
      <c r="Q354" s="128"/>
    </row>
    <row r="355">
      <c r="B355" s="8"/>
      <c r="C355" s="8"/>
      <c r="D355" s="8"/>
      <c r="E355" s="8"/>
      <c r="F355" s="129"/>
      <c r="G355" s="8"/>
      <c r="L355" s="128"/>
      <c r="Q355" s="128"/>
    </row>
    <row r="356">
      <c r="B356" s="8"/>
      <c r="C356" s="8"/>
      <c r="D356" s="8"/>
      <c r="E356" s="8"/>
      <c r="F356" s="129"/>
      <c r="G356" s="8"/>
      <c r="L356" s="128"/>
      <c r="Q356" s="128"/>
    </row>
    <row r="357">
      <c r="B357" s="8"/>
      <c r="C357" s="8"/>
      <c r="D357" s="8"/>
      <c r="E357" s="8"/>
      <c r="F357" s="129"/>
      <c r="G357" s="8"/>
      <c r="L357" s="128"/>
      <c r="Q357" s="128"/>
    </row>
    <row r="358">
      <c r="B358" s="8"/>
      <c r="C358" s="8"/>
      <c r="D358" s="8"/>
      <c r="E358" s="8"/>
      <c r="F358" s="129"/>
      <c r="G358" s="8"/>
      <c r="L358" s="128"/>
      <c r="Q358" s="128"/>
    </row>
    <row r="359">
      <c r="B359" s="8"/>
      <c r="C359" s="8"/>
      <c r="D359" s="8"/>
      <c r="E359" s="8"/>
      <c r="F359" s="129"/>
      <c r="G359" s="8"/>
      <c r="L359" s="128"/>
      <c r="Q359" s="128"/>
    </row>
    <row r="360">
      <c r="B360" s="8"/>
      <c r="C360" s="8"/>
      <c r="D360" s="8"/>
      <c r="E360" s="8"/>
      <c r="F360" s="129"/>
      <c r="G360" s="8"/>
      <c r="L360" s="128"/>
      <c r="Q360" s="128"/>
    </row>
    <row r="361">
      <c r="B361" s="8"/>
      <c r="C361" s="8"/>
      <c r="D361" s="8"/>
      <c r="E361" s="8"/>
      <c r="F361" s="129"/>
      <c r="G361" s="8"/>
      <c r="L361" s="128"/>
      <c r="Q361" s="128"/>
    </row>
    <row r="362">
      <c r="B362" s="8"/>
      <c r="C362" s="8"/>
      <c r="D362" s="8"/>
      <c r="E362" s="8"/>
      <c r="F362" s="129"/>
      <c r="G362" s="8"/>
      <c r="L362" s="128"/>
      <c r="Q362" s="128"/>
    </row>
    <row r="363">
      <c r="B363" s="8"/>
      <c r="C363" s="8"/>
      <c r="D363" s="8"/>
      <c r="E363" s="8"/>
      <c r="F363" s="129"/>
      <c r="G363" s="8"/>
      <c r="L363" s="128"/>
      <c r="Q363" s="128"/>
    </row>
    <row r="364">
      <c r="B364" s="8"/>
      <c r="C364" s="8"/>
      <c r="D364" s="8"/>
      <c r="E364" s="8"/>
      <c r="F364" s="129"/>
      <c r="G364" s="8"/>
      <c r="L364" s="128"/>
      <c r="Q364" s="128"/>
    </row>
    <row r="365">
      <c r="B365" s="8"/>
      <c r="C365" s="8"/>
      <c r="D365" s="8"/>
      <c r="E365" s="8"/>
      <c r="F365" s="129"/>
      <c r="G365" s="8"/>
      <c r="L365" s="128"/>
      <c r="Q365" s="128"/>
    </row>
    <row r="366">
      <c r="B366" s="8"/>
      <c r="C366" s="8"/>
      <c r="D366" s="8"/>
      <c r="E366" s="8"/>
      <c r="F366" s="129"/>
      <c r="G366" s="8"/>
      <c r="L366" s="128"/>
      <c r="Q366" s="128"/>
    </row>
    <row r="367">
      <c r="B367" s="8"/>
      <c r="C367" s="8"/>
      <c r="D367" s="8"/>
      <c r="E367" s="8"/>
      <c r="F367" s="129"/>
      <c r="G367" s="8"/>
      <c r="L367" s="128"/>
      <c r="Q367" s="128"/>
    </row>
    <row r="368">
      <c r="B368" s="8"/>
      <c r="C368" s="8"/>
      <c r="D368" s="8"/>
      <c r="E368" s="8"/>
      <c r="F368" s="129"/>
      <c r="G368" s="8"/>
      <c r="L368" s="128"/>
      <c r="Q368" s="128"/>
    </row>
    <row r="369">
      <c r="B369" s="8"/>
      <c r="C369" s="8"/>
      <c r="D369" s="8"/>
      <c r="E369" s="8"/>
      <c r="F369" s="129"/>
      <c r="G369" s="8"/>
      <c r="L369" s="128"/>
      <c r="Q369" s="128"/>
    </row>
    <row r="370">
      <c r="B370" s="8"/>
      <c r="C370" s="8"/>
      <c r="D370" s="8"/>
      <c r="E370" s="8"/>
      <c r="F370" s="129"/>
      <c r="G370" s="8"/>
      <c r="L370" s="128"/>
      <c r="Q370" s="128"/>
    </row>
    <row r="371">
      <c r="B371" s="8"/>
      <c r="C371" s="8"/>
      <c r="D371" s="8"/>
      <c r="E371" s="8"/>
      <c r="F371" s="129"/>
      <c r="G371" s="8"/>
      <c r="L371" s="128"/>
      <c r="Q371" s="128"/>
    </row>
    <row r="372">
      <c r="B372" s="8"/>
      <c r="C372" s="8"/>
      <c r="D372" s="8"/>
      <c r="E372" s="8"/>
      <c r="F372" s="129"/>
      <c r="G372" s="8"/>
      <c r="L372" s="128"/>
      <c r="Q372" s="128"/>
    </row>
    <row r="373">
      <c r="B373" s="8"/>
      <c r="C373" s="8"/>
      <c r="D373" s="8"/>
      <c r="E373" s="8"/>
      <c r="F373" s="129"/>
      <c r="G373" s="8"/>
      <c r="L373" s="128"/>
      <c r="Q373" s="128"/>
    </row>
    <row r="374">
      <c r="B374" s="8"/>
      <c r="C374" s="8"/>
      <c r="D374" s="8"/>
      <c r="E374" s="8"/>
      <c r="F374" s="129"/>
      <c r="G374" s="8"/>
      <c r="L374" s="128"/>
      <c r="Q374" s="128"/>
    </row>
    <row r="375">
      <c r="B375" s="8"/>
      <c r="C375" s="8"/>
      <c r="D375" s="8"/>
      <c r="E375" s="8"/>
      <c r="F375" s="129"/>
      <c r="G375" s="8"/>
      <c r="L375" s="128"/>
      <c r="Q375" s="128"/>
    </row>
    <row r="376">
      <c r="B376" s="8"/>
      <c r="C376" s="8"/>
      <c r="D376" s="8"/>
      <c r="E376" s="8"/>
      <c r="F376" s="129"/>
      <c r="G376" s="8"/>
      <c r="L376" s="128"/>
      <c r="Q376" s="128"/>
    </row>
    <row r="377">
      <c r="B377" s="8"/>
      <c r="C377" s="8"/>
      <c r="D377" s="8"/>
      <c r="E377" s="8"/>
      <c r="F377" s="129"/>
      <c r="G377" s="8"/>
      <c r="L377" s="128"/>
      <c r="Q377" s="128"/>
    </row>
    <row r="378">
      <c r="B378" s="8"/>
      <c r="C378" s="8"/>
      <c r="D378" s="8"/>
      <c r="E378" s="8"/>
      <c r="F378" s="129"/>
      <c r="G378" s="8"/>
      <c r="L378" s="128"/>
      <c r="Q378" s="128"/>
    </row>
    <row r="379">
      <c r="B379" s="8"/>
      <c r="C379" s="8"/>
      <c r="D379" s="8"/>
      <c r="E379" s="8"/>
      <c r="F379" s="129"/>
      <c r="G379" s="8"/>
      <c r="L379" s="128"/>
      <c r="Q379" s="128"/>
    </row>
    <row r="380">
      <c r="B380" s="8"/>
      <c r="C380" s="8"/>
      <c r="D380" s="8"/>
      <c r="E380" s="8"/>
      <c r="F380" s="129"/>
      <c r="G380" s="8"/>
      <c r="L380" s="128"/>
      <c r="Q380" s="128"/>
    </row>
    <row r="381">
      <c r="B381" s="8"/>
      <c r="C381" s="8"/>
      <c r="D381" s="8"/>
      <c r="E381" s="8"/>
      <c r="F381" s="129"/>
      <c r="G381" s="8"/>
      <c r="L381" s="128"/>
      <c r="Q381" s="128"/>
    </row>
    <row r="382">
      <c r="B382" s="8"/>
      <c r="C382" s="8"/>
      <c r="D382" s="8"/>
      <c r="E382" s="8"/>
      <c r="F382" s="129"/>
      <c r="G382" s="8"/>
      <c r="L382" s="128"/>
      <c r="Q382" s="128"/>
    </row>
    <row r="383">
      <c r="B383" s="8"/>
      <c r="C383" s="8"/>
      <c r="D383" s="8"/>
      <c r="E383" s="8"/>
      <c r="F383" s="129"/>
      <c r="G383" s="8"/>
      <c r="L383" s="128"/>
      <c r="Q383" s="128"/>
    </row>
    <row r="384">
      <c r="B384" s="8"/>
      <c r="C384" s="8"/>
      <c r="D384" s="8"/>
      <c r="E384" s="8"/>
      <c r="F384" s="129"/>
      <c r="G384" s="8"/>
      <c r="L384" s="128"/>
      <c r="Q384" s="128"/>
    </row>
    <row r="385">
      <c r="B385" s="8"/>
      <c r="C385" s="8"/>
      <c r="D385" s="8"/>
      <c r="E385" s="8"/>
      <c r="F385" s="129"/>
      <c r="G385" s="8"/>
      <c r="L385" s="128"/>
      <c r="Q385" s="128"/>
    </row>
    <row r="386">
      <c r="B386" s="8"/>
      <c r="C386" s="8"/>
      <c r="D386" s="8"/>
      <c r="E386" s="8"/>
      <c r="F386" s="129"/>
      <c r="G386" s="8"/>
      <c r="L386" s="128"/>
      <c r="Q386" s="128"/>
    </row>
    <row r="387">
      <c r="B387" s="8"/>
      <c r="C387" s="8"/>
      <c r="D387" s="8"/>
      <c r="E387" s="8"/>
      <c r="F387" s="129"/>
      <c r="G387" s="8"/>
      <c r="L387" s="128"/>
      <c r="Q387" s="128"/>
    </row>
    <row r="388">
      <c r="B388" s="8"/>
      <c r="C388" s="8"/>
      <c r="D388" s="8"/>
      <c r="E388" s="8"/>
      <c r="F388" s="129"/>
      <c r="G388" s="8"/>
      <c r="L388" s="128"/>
      <c r="Q388" s="128"/>
    </row>
    <row r="389">
      <c r="B389" s="8"/>
      <c r="C389" s="8"/>
      <c r="D389" s="8"/>
      <c r="E389" s="8"/>
      <c r="F389" s="129"/>
      <c r="G389" s="8"/>
      <c r="L389" s="128"/>
      <c r="Q389" s="128"/>
    </row>
    <row r="390">
      <c r="B390" s="8"/>
      <c r="C390" s="8"/>
      <c r="D390" s="8"/>
      <c r="E390" s="8"/>
      <c r="F390" s="129"/>
      <c r="G390" s="8"/>
      <c r="L390" s="128"/>
      <c r="Q390" s="128"/>
    </row>
    <row r="391">
      <c r="B391" s="8"/>
      <c r="C391" s="8"/>
      <c r="D391" s="8"/>
      <c r="E391" s="8"/>
      <c r="F391" s="129"/>
      <c r="G391" s="8"/>
      <c r="L391" s="128"/>
      <c r="Q391" s="128"/>
    </row>
    <row r="392">
      <c r="B392" s="8"/>
      <c r="C392" s="8"/>
      <c r="D392" s="8"/>
      <c r="E392" s="8"/>
      <c r="F392" s="129"/>
      <c r="G392" s="8"/>
      <c r="L392" s="128"/>
      <c r="Q392" s="128"/>
    </row>
    <row r="393">
      <c r="B393" s="8"/>
      <c r="C393" s="8"/>
      <c r="D393" s="8"/>
      <c r="E393" s="8"/>
      <c r="F393" s="129"/>
      <c r="G393" s="8"/>
      <c r="L393" s="128"/>
      <c r="Q393" s="128"/>
    </row>
    <row r="394">
      <c r="B394" s="8"/>
      <c r="C394" s="8"/>
      <c r="D394" s="8"/>
      <c r="E394" s="8"/>
      <c r="F394" s="129"/>
      <c r="G394" s="8"/>
      <c r="L394" s="128"/>
      <c r="Q394" s="128"/>
    </row>
    <row r="395">
      <c r="B395" s="8"/>
      <c r="C395" s="8"/>
      <c r="D395" s="8"/>
      <c r="E395" s="8"/>
      <c r="F395" s="129"/>
      <c r="G395" s="8"/>
      <c r="L395" s="128"/>
      <c r="Q395" s="128"/>
    </row>
    <row r="396">
      <c r="B396" s="8"/>
      <c r="C396" s="8"/>
      <c r="D396" s="8"/>
      <c r="E396" s="8"/>
      <c r="F396" s="129"/>
      <c r="G396" s="8"/>
      <c r="L396" s="128"/>
      <c r="Q396" s="128"/>
    </row>
    <row r="397">
      <c r="B397" s="8"/>
      <c r="C397" s="8"/>
      <c r="D397" s="8"/>
      <c r="E397" s="8"/>
      <c r="F397" s="129"/>
      <c r="G397" s="8"/>
      <c r="L397" s="128"/>
      <c r="Q397" s="128"/>
    </row>
    <row r="398">
      <c r="B398" s="8"/>
      <c r="C398" s="8"/>
      <c r="D398" s="8"/>
      <c r="E398" s="8"/>
      <c r="F398" s="129"/>
      <c r="G398" s="8"/>
      <c r="L398" s="128"/>
      <c r="Q398" s="128"/>
    </row>
    <row r="399">
      <c r="B399" s="8"/>
      <c r="C399" s="8"/>
      <c r="D399" s="8"/>
      <c r="E399" s="8"/>
      <c r="F399" s="129"/>
      <c r="G399" s="8"/>
      <c r="L399" s="128"/>
      <c r="Q399" s="128"/>
    </row>
    <row r="400">
      <c r="B400" s="8"/>
      <c r="C400" s="8"/>
      <c r="D400" s="8"/>
      <c r="E400" s="8"/>
      <c r="F400" s="129"/>
      <c r="G400" s="8"/>
      <c r="L400" s="128"/>
      <c r="Q400" s="128"/>
    </row>
    <row r="401">
      <c r="B401" s="8"/>
      <c r="C401" s="8"/>
      <c r="D401" s="8"/>
      <c r="E401" s="8"/>
      <c r="F401" s="129"/>
      <c r="G401" s="8"/>
      <c r="L401" s="128"/>
      <c r="Q401" s="128"/>
    </row>
    <row r="402">
      <c r="B402" s="8"/>
      <c r="C402" s="8"/>
      <c r="D402" s="8"/>
      <c r="E402" s="8"/>
      <c r="F402" s="129"/>
      <c r="G402" s="8"/>
      <c r="L402" s="128"/>
      <c r="Q402" s="128"/>
    </row>
    <row r="403">
      <c r="B403" s="8"/>
      <c r="C403" s="8"/>
      <c r="D403" s="8"/>
      <c r="E403" s="8"/>
      <c r="F403" s="129"/>
      <c r="G403" s="8"/>
      <c r="L403" s="128"/>
      <c r="Q403" s="128"/>
    </row>
    <row r="404">
      <c r="B404" s="8"/>
      <c r="C404" s="8"/>
      <c r="D404" s="8"/>
      <c r="E404" s="8"/>
      <c r="F404" s="129"/>
      <c r="G404" s="8"/>
      <c r="L404" s="128"/>
      <c r="Q404" s="128"/>
    </row>
    <row r="405">
      <c r="B405" s="8"/>
      <c r="C405" s="8"/>
      <c r="D405" s="8"/>
      <c r="E405" s="8"/>
      <c r="F405" s="129"/>
      <c r="G405" s="8"/>
      <c r="L405" s="128"/>
      <c r="Q405" s="128"/>
    </row>
    <row r="406">
      <c r="B406" s="8"/>
      <c r="C406" s="8"/>
      <c r="D406" s="8"/>
      <c r="E406" s="8"/>
      <c r="F406" s="129"/>
      <c r="G406" s="8"/>
      <c r="L406" s="128"/>
      <c r="Q406" s="128"/>
    </row>
    <row r="407">
      <c r="B407" s="8"/>
      <c r="C407" s="8"/>
      <c r="D407" s="8"/>
      <c r="E407" s="8"/>
      <c r="F407" s="129"/>
      <c r="G407" s="8"/>
      <c r="L407" s="128"/>
      <c r="Q407" s="128"/>
    </row>
    <row r="408">
      <c r="B408" s="8"/>
      <c r="C408" s="8"/>
      <c r="D408" s="8"/>
      <c r="E408" s="8"/>
      <c r="F408" s="129"/>
      <c r="G408" s="8"/>
      <c r="L408" s="128"/>
      <c r="Q408" s="128"/>
    </row>
    <row r="409">
      <c r="B409" s="8"/>
      <c r="C409" s="8"/>
      <c r="D409" s="8"/>
      <c r="E409" s="8"/>
      <c r="F409" s="129"/>
      <c r="G409" s="8"/>
      <c r="L409" s="128"/>
      <c r="Q409" s="128"/>
    </row>
    <row r="410">
      <c r="B410" s="8"/>
      <c r="C410" s="8"/>
      <c r="D410" s="8"/>
      <c r="E410" s="8"/>
      <c r="F410" s="129"/>
      <c r="G410" s="8"/>
      <c r="L410" s="128"/>
      <c r="Q410" s="128"/>
    </row>
    <row r="411">
      <c r="B411" s="8"/>
      <c r="C411" s="8"/>
      <c r="D411" s="8"/>
      <c r="E411" s="8"/>
      <c r="F411" s="129"/>
      <c r="G411" s="8"/>
      <c r="L411" s="128"/>
      <c r="Q411" s="128"/>
    </row>
    <row r="412">
      <c r="B412" s="8"/>
      <c r="C412" s="8"/>
      <c r="D412" s="8"/>
      <c r="E412" s="8"/>
      <c r="F412" s="129"/>
      <c r="G412" s="8"/>
      <c r="L412" s="128"/>
      <c r="Q412" s="128"/>
    </row>
    <row r="413">
      <c r="B413" s="8"/>
      <c r="C413" s="8"/>
      <c r="D413" s="8"/>
      <c r="E413" s="8"/>
      <c r="F413" s="129"/>
      <c r="G413" s="8"/>
      <c r="L413" s="128"/>
      <c r="Q413" s="128"/>
    </row>
    <row r="414">
      <c r="B414" s="8"/>
      <c r="C414" s="8"/>
      <c r="D414" s="8"/>
      <c r="E414" s="8"/>
      <c r="F414" s="129"/>
      <c r="G414" s="8"/>
      <c r="L414" s="128"/>
      <c r="Q414" s="128"/>
    </row>
    <row r="415">
      <c r="B415" s="8"/>
      <c r="C415" s="8"/>
      <c r="D415" s="8"/>
      <c r="E415" s="8"/>
      <c r="F415" s="129"/>
      <c r="G415" s="8"/>
      <c r="L415" s="128"/>
      <c r="Q415" s="128"/>
    </row>
    <row r="416">
      <c r="B416" s="8"/>
      <c r="C416" s="8"/>
      <c r="D416" s="8"/>
      <c r="E416" s="8"/>
      <c r="F416" s="129"/>
      <c r="G416" s="8"/>
      <c r="L416" s="128"/>
      <c r="Q416" s="128"/>
    </row>
    <row r="417">
      <c r="B417" s="8"/>
      <c r="C417" s="8"/>
      <c r="D417" s="8"/>
      <c r="E417" s="8"/>
      <c r="F417" s="129"/>
      <c r="G417" s="8"/>
      <c r="L417" s="128"/>
      <c r="Q417" s="128"/>
    </row>
    <row r="418">
      <c r="B418" s="8"/>
      <c r="C418" s="8"/>
      <c r="D418" s="8"/>
      <c r="E418" s="8"/>
      <c r="F418" s="129"/>
      <c r="G418" s="8"/>
      <c r="L418" s="128"/>
      <c r="Q418" s="128"/>
    </row>
    <row r="419">
      <c r="B419" s="8"/>
      <c r="C419" s="8"/>
      <c r="D419" s="8"/>
      <c r="E419" s="8"/>
      <c r="F419" s="129"/>
      <c r="G419" s="8"/>
      <c r="L419" s="128"/>
      <c r="Q419" s="128"/>
    </row>
    <row r="420">
      <c r="B420" s="8"/>
      <c r="C420" s="8"/>
      <c r="D420" s="8"/>
      <c r="E420" s="8"/>
      <c r="F420" s="129"/>
      <c r="G420" s="8"/>
      <c r="L420" s="128"/>
      <c r="Q420" s="128"/>
    </row>
    <row r="421">
      <c r="B421" s="8"/>
      <c r="C421" s="8"/>
      <c r="D421" s="8"/>
      <c r="E421" s="8"/>
      <c r="F421" s="129"/>
      <c r="G421" s="8"/>
      <c r="L421" s="128"/>
      <c r="Q421" s="128"/>
    </row>
    <row r="422">
      <c r="B422" s="8"/>
      <c r="C422" s="8"/>
      <c r="D422" s="8"/>
      <c r="E422" s="8"/>
      <c r="F422" s="129"/>
      <c r="G422" s="8"/>
      <c r="L422" s="128"/>
      <c r="Q422" s="128"/>
    </row>
    <row r="423">
      <c r="B423" s="8"/>
      <c r="C423" s="8"/>
      <c r="D423" s="8"/>
      <c r="E423" s="8"/>
      <c r="F423" s="129"/>
      <c r="G423" s="8"/>
      <c r="L423" s="128"/>
      <c r="Q423" s="128"/>
    </row>
    <row r="424">
      <c r="B424" s="8"/>
      <c r="C424" s="8"/>
      <c r="D424" s="8"/>
      <c r="E424" s="8"/>
      <c r="F424" s="129"/>
      <c r="G424" s="8"/>
      <c r="L424" s="128"/>
      <c r="Q424" s="128"/>
    </row>
    <row r="425">
      <c r="B425" s="8"/>
      <c r="C425" s="8"/>
      <c r="D425" s="8"/>
      <c r="E425" s="8"/>
      <c r="F425" s="129"/>
      <c r="G425" s="8"/>
      <c r="L425" s="128"/>
      <c r="Q425" s="128"/>
    </row>
    <row r="426">
      <c r="B426" s="8"/>
      <c r="C426" s="8"/>
      <c r="D426" s="8"/>
      <c r="E426" s="8"/>
      <c r="F426" s="129"/>
      <c r="G426" s="8"/>
      <c r="L426" s="128"/>
      <c r="Q426" s="128"/>
    </row>
    <row r="427">
      <c r="B427" s="8"/>
      <c r="C427" s="8"/>
      <c r="D427" s="8"/>
      <c r="E427" s="8"/>
      <c r="F427" s="129"/>
      <c r="G427" s="8"/>
      <c r="L427" s="128"/>
      <c r="Q427" s="128"/>
    </row>
    <row r="428">
      <c r="B428" s="8"/>
      <c r="C428" s="8"/>
      <c r="D428" s="8"/>
      <c r="E428" s="8"/>
      <c r="F428" s="129"/>
      <c r="G428" s="8"/>
      <c r="L428" s="128"/>
      <c r="Q428" s="128"/>
    </row>
    <row r="429">
      <c r="B429" s="8"/>
      <c r="C429" s="8"/>
      <c r="D429" s="8"/>
      <c r="E429" s="8"/>
      <c r="F429" s="129"/>
      <c r="G429" s="8"/>
      <c r="L429" s="128"/>
      <c r="Q429" s="128"/>
    </row>
    <row r="430">
      <c r="B430" s="8"/>
      <c r="C430" s="8"/>
      <c r="D430" s="8"/>
      <c r="E430" s="8"/>
      <c r="F430" s="129"/>
      <c r="G430" s="8"/>
      <c r="L430" s="128"/>
      <c r="Q430" s="128"/>
    </row>
    <row r="431">
      <c r="B431" s="8"/>
      <c r="C431" s="8"/>
      <c r="D431" s="8"/>
      <c r="E431" s="8"/>
      <c r="F431" s="129"/>
      <c r="G431" s="8"/>
      <c r="L431" s="128"/>
      <c r="Q431" s="128"/>
    </row>
    <row r="432">
      <c r="B432" s="8"/>
      <c r="C432" s="8"/>
      <c r="D432" s="8"/>
      <c r="E432" s="8"/>
      <c r="F432" s="129"/>
      <c r="G432" s="8"/>
      <c r="L432" s="128"/>
      <c r="Q432" s="128"/>
    </row>
    <row r="433">
      <c r="B433" s="8"/>
      <c r="C433" s="8"/>
      <c r="D433" s="8"/>
      <c r="E433" s="8"/>
      <c r="F433" s="129"/>
      <c r="G433" s="8"/>
      <c r="L433" s="128"/>
      <c r="Q433" s="128"/>
    </row>
    <row r="434">
      <c r="B434" s="8"/>
      <c r="C434" s="8"/>
      <c r="D434" s="8"/>
      <c r="E434" s="8"/>
      <c r="F434" s="129"/>
      <c r="G434" s="8"/>
      <c r="L434" s="128"/>
      <c r="Q434" s="128"/>
    </row>
    <row r="435">
      <c r="B435" s="8"/>
      <c r="C435" s="8"/>
      <c r="D435" s="8"/>
      <c r="E435" s="8"/>
      <c r="F435" s="129"/>
      <c r="G435" s="8"/>
      <c r="L435" s="128"/>
      <c r="Q435" s="128"/>
    </row>
    <row r="436">
      <c r="B436" s="8"/>
      <c r="C436" s="8"/>
      <c r="D436" s="8"/>
      <c r="E436" s="8"/>
      <c r="F436" s="129"/>
      <c r="G436" s="8"/>
      <c r="L436" s="128"/>
      <c r="Q436" s="128"/>
    </row>
    <row r="437">
      <c r="B437" s="8"/>
      <c r="C437" s="8"/>
      <c r="D437" s="8"/>
      <c r="E437" s="8"/>
      <c r="F437" s="129"/>
      <c r="G437" s="8"/>
      <c r="L437" s="128"/>
      <c r="Q437" s="128"/>
    </row>
    <row r="438">
      <c r="B438" s="8"/>
      <c r="C438" s="8"/>
      <c r="D438" s="8"/>
      <c r="E438" s="8"/>
      <c r="F438" s="129"/>
      <c r="G438" s="8"/>
      <c r="L438" s="128"/>
      <c r="Q438" s="128"/>
    </row>
    <row r="439">
      <c r="B439" s="8"/>
      <c r="C439" s="8"/>
      <c r="D439" s="8"/>
      <c r="E439" s="8"/>
      <c r="F439" s="129"/>
      <c r="G439" s="8"/>
      <c r="L439" s="128"/>
      <c r="Q439" s="128"/>
    </row>
    <row r="440">
      <c r="B440" s="8"/>
      <c r="C440" s="8"/>
      <c r="D440" s="8"/>
      <c r="E440" s="8"/>
      <c r="F440" s="129"/>
      <c r="G440" s="8"/>
      <c r="L440" s="128"/>
      <c r="Q440" s="128"/>
    </row>
    <row r="441">
      <c r="B441" s="8"/>
      <c r="C441" s="8"/>
      <c r="D441" s="8"/>
      <c r="E441" s="8"/>
      <c r="F441" s="129"/>
      <c r="G441" s="8"/>
      <c r="L441" s="128"/>
      <c r="Q441" s="128"/>
    </row>
    <row r="442">
      <c r="B442" s="8"/>
      <c r="C442" s="8"/>
      <c r="D442" s="8"/>
      <c r="E442" s="8"/>
      <c r="F442" s="129"/>
      <c r="G442" s="8"/>
      <c r="L442" s="128"/>
      <c r="Q442" s="128"/>
    </row>
    <row r="443">
      <c r="B443" s="8"/>
      <c r="C443" s="8"/>
      <c r="D443" s="8"/>
      <c r="E443" s="8"/>
      <c r="F443" s="129"/>
      <c r="G443" s="8"/>
      <c r="L443" s="128"/>
      <c r="Q443" s="128"/>
    </row>
    <row r="444">
      <c r="B444" s="8"/>
      <c r="C444" s="8"/>
      <c r="D444" s="8"/>
      <c r="E444" s="8"/>
      <c r="F444" s="129"/>
      <c r="G444" s="8"/>
      <c r="L444" s="128"/>
      <c r="Q444" s="128"/>
    </row>
    <row r="445">
      <c r="B445" s="8"/>
      <c r="C445" s="8"/>
      <c r="D445" s="8"/>
      <c r="E445" s="8"/>
      <c r="F445" s="129"/>
      <c r="G445" s="8"/>
      <c r="L445" s="128"/>
      <c r="Q445" s="128"/>
    </row>
    <row r="446">
      <c r="B446" s="8"/>
      <c r="C446" s="8"/>
      <c r="D446" s="8"/>
      <c r="E446" s="8"/>
      <c r="F446" s="129"/>
      <c r="G446" s="8"/>
      <c r="L446" s="128"/>
      <c r="Q446" s="128"/>
    </row>
    <row r="447">
      <c r="B447" s="8"/>
      <c r="C447" s="8"/>
      <c r="D447" s="8"/>
      <c r="E447" s="8"/>
      <c r="F447" s="129"/>
      <c r="G447" s="8"/>
      <c r="L447" s="128"/>
      <c r="Q447" s="128"/>
    </row>
    <row r="448">
      <c r="B448" s="8"/>
      <c r="C448" s="8"/>
      <c r="D448" s="8"/>
      <c r="E448" s="8"/>
      <c r="F448" s="129"/>
      <c r="G448" s="8"/>
      <c r="L448" s="128"/>
      <c r="Q448" s="128"/>
    </row>
    <row r="449">
      <c r="B449" s="8"/>
      <c r="C449" s="8"/>
      <c r="D449" s="8"/>
      <c r="E449" s="8"/>
      <c r="F449" s="129"/>
      <c r="G449" s="8"/>
      <c r="L449" s="128"/>
      <c r="Q449" s="128"/>
    </row>
    <row r="450">
      <c r="B450" s="8"/>
      <c r="C450" s="8"/>
      <c r="D450" s="8"/>
      <c r="E450" s="8"/>
      <c r="F450" s="129"/>
      <c r="G450" s="8"/>
      <c r="L450" s="128"/>
      <c r="Q450" s="128"/>
    </row>
    <row r="451">
      <c r="B451" s="8"/>
      <c r="C451" s="8"/>
      <c r="D451" s="8"/>
      <c r="E451" s="8"/>
      <c r="F451" s="129"/>
      <c r="G451" s="8"/>
      <c r="L451" s="128"/>
      <c r="Q451" s="128"/>
    </row>
    <row r="452">
      <c r="B452" s="8"/>
      <c r="C452" s="8"/>
      <c r="D452" s="8"/>
      <c r="E452" s="8"/>
      <c r="F452" s="129"/>
      <c r="G452" s="8"/>
      <c r="L452" s="128"/>
      <c r="Q452" s="128"/>
    </row>
    <row r="453">
      <c r="B453" s="8"/>
      <c r="C453" s="8"/>
      <c r="D453" s="8"/>
      <c r="E453" s="8"/>
      <c r="F453" s="129"/>
      <c r="G453" s="8"/>
      <c r="L453" s="128"/>
      <c r="Q453" s="128"/>
    </row>
    <row r="454">
      <c r="B454" s="8"/>
      <c r="C454" s="8"/>
      <c r="D454" s="8"/>
      <c r="E454" s="8"/>
      <c r="F454" s="129"/>
      <c r="G454" s="8"/>
      <c r="L454" s="128"/>
      <c r="Q454" s="128"/>
    </row>
    <row r="455">
      <c r="B455" s="8"/>
      <c r="C455" s="8"/>
      <c r="D455" s="8"/>
      <c r="E455" s="8"/>
      <c r="F455" s="129"/>
      <c r="G455" s="8"/>
      <c r="L455" s="128"/>
      <c r="Q455" s="128"/>
    </row>
    <row r="456">
      <c r="B456" s="8"/>
      <c r="C456" s="8"/>
      <c r="D456" s="8"/>
      <c r="E456" s="8"/>
      <c r="F456" s="129"/>
      <c r="G456" s="8"/>
      <c r="L456" s="128"/>
      <c r="Q456" s="128"/>
    </row>
    <row r="457">
      <c r="B457" s="8"/>
      <c r="C457" s="8"/>
      <c r="D457" s="8"/>
      <c r="E457" s="8"/>
      <c r="F457" s="129"/>
      <c r="G457" s="8"/>
      <c r="L457" s="128"/>
      <c r="Q457" s="128"/>
    </row>
    <row r="458">
      <c r="B458" s="8"/>
      <c r="C458" s="8"/>
      <c r="D458" s="8"/>
      <c r="E458" s="8"/>
      <c r="F458" s="129"/>
      <c r="G458" s="8"/>
      <c r="L458" s="128"/>
      <c r="Q458" s="128"/>
    </row>
    <row r="459">
      <c r="B459" s="8"/>
      <c r="C459" s="8"/>
      <c r="D459" s="8"/>
      <c r="E459" s="8"/>
      <c r="F459" s="129"/>
      <c r="G459" s="8"/>
      <c r="L459" s="128"/>
      <c r="Q459" s="128"/>
    </row>
    <row r="460">
      <c r="B460" s="8"/>
      <c r="C460" s="8"/>
      <c r="D460" s="8"/>
      <c r="E460" s="8"/>
      <c r="F460" s="129"/>
      <c r="G460" s="8"/>
      <c r="L460" s="128"/>
      <c r="Q460" s="128"/>
    </row>
    <row r="461">
      <c r="B461" s="8"/>
      <c r="C461" s="8"/>
      <c r="D461" s="8"/>
      <c r="E461" s="8"/>
      <c r="F461" s="129"/>
      <c r="G461" s="8"/>
      <c r="L461" s="128"/>
      <c r="Q461" s="128"/>
    </row>
    <row r="462">
      <c r="B462" s="8"/>
      <c r="C462" s="8"/>
      <c r="D462" s="8"/>
      <c r="E462" s="8"/>
      <c r="F462" s="129"/>
      <c r="G462" s="8"/>
      <c r="L462" s="128"/>
      <c r="Q462" s="128"/>
    </row>
    <row r="463">
      <c r="B463" s="8"/>
      <c r="C463" s="8"/>
      <c r="D463" s="8"/>
      <c r="E463" s="8"/>
      <c r="F463" s="129"/>
      <c r="G463" s="8"/>
      <c r="L463" s="128"/>
      <c r="Q463" s="128"/>
    </row>
    <row r="464">
      <c r="B464" s="8"/>
      <c r="C464" s="8"/>
      <c r="D464" s="8"/>
      <c r="E464" s="8"/>
      <c r="F464" s="129"/>
      <c r="G464" s="8"/>
      <c r="L464" s="128"/>
      <c r="Q464" s="128"/>
    </row>
    <row r="465">
      <c r="B465" s="8"/>
      <c r="C465" s="8"/>
      <c r="D465" s="8"/>
      <c r="E465" s="8"/>
      <c r="F465" s="129"/>
      <c r="G465" s="8"/>
      <c r="L465" s="128"/>
      <c r="Q465" s="128"/>
    </row>
    <row r="466">
      <c r="B466" s="8"/>
      <c r="C466" s="8"/>
      <c r="D466" s="8"/>
      <c r="E466" s="8"/>
      <c r="F466" s="129"/>
      <c r="G466" s="8"/>
      <c r="L466" s="128"/>
      <c r="Q466" s="128"/>
    </row>
    <row r="467">
      <c r="B467" s="8"/>
      <c r="C467" s="8"/>
      <c r="D467" s="8"/>
      <c r="E467" s="8"/>
      <c r="F467" s="129"/>
      <c r="G467" s="8"/>
      <c r="L467" s="128"/>
      <c r="Q467" s="128"/>
    </row>
    <row r="468">
      <c r="B468" s="8"/>
      <c r="C468" s="8"/>
      <c r="D468" s="8"/>
      <c r="E468" s="8"/>
      <c r="F468" s="129"/>
      <c r="G468" s="8"/>
      <c r="L468" s="128"/>
      <c r="Q468" s="128"/>
    </row>
    <row r="469">
      <c r="B469" s="8"/>
      <c r="C469" s="8"/>
      <c r="D469" s="8"/>
      <c r="E469" s="8"/>
      <c r="F469" s="129"/>
      <c r="G469" s="8"/>
      <c r="L469" s="128"/>
      <c r="Q469" s="128"/>
    </row>
    <row r="470">
      <c r="B470" s="8"/>
      <c r="C470" s="8"/>
      <c r="D470" s="8"/>
      <c r="E470" s="8"/>
      <c r="F470" s="129"/>
      <c r="G470" s="8"/>
      <c r="L470" s="128"/>
      <c r="Q470" s="128"/>
    </row>
    <row r="471">
      <c r="B471" s="8"/>
      <c r="C471" s="8"/>
      <c r="D471" s="8"/>
      <c r="E471" s="8"/>
      <c r="F471" s="129"/>
      <c r="G471" s="8"/>
      <c r="L471" s="128"/>
      <c r="Q471" s="128"/>
    </row>
    <row r="472">
      <c r="B472" s="8"/>
      <c r="C472" s="8"/>
      <c r="D472" s="8"/>
      <c r="E472" s="8"/>
      <c r="F472" s="129"/>
      <c r="G472" s="8"/>
      <c r="L472" s="128"/>
      <c r="Q472" s="128"/>
    </row>
    <row r="473">
      <c r="B473" s="8"/>
      <c r="C473" s="8"/>
      <c r="D473" s="8"/>
      <c r="E473" s="8"/>
      <c r="F473" s="129"/>
      <c r="G473" s="8"/>
      <c r="L473" s="128"/>
      <c r="Q473" s="128"/>
    </row>
    <row r="474">
      <c r="B474" s="8"/>
      <c r="C474" s="8"/>
      <c r="D474" s="8"/>
      <c r="E474" s="8"/>
      <c r="F474" s="129"/>
      <c r="G474" s="8"/>
      <c r="L474" s="128"/>
      <c r="Q474" s="128"/>
    </row>
    <row r="475">
      <c r="B475" s="8"/>
      <c r="C475" s="8"/>
      <c r="D475" s="8"/>
      <c r="E475" s="8"/>
      <c r="F475" s="129"/>
      <c r="G475" s="8"/>
      <c r="L475" s="128"/>
      <c r="Q475" s="128"/>
    </row>
    <row r="476">
      <c r="B476" s="8"/>
      <c r="C476" s="8"/>
      <c r="D476" s="8"/>
      <c r="E476" s="8"/>
      <c r="F476" s="129"/>
      <c r="G476" s="8"/>
      <c r="L476" s="128"/>
      <c r="Q476" s="128"/>
    </row>
    <row r="477">
      <c r="B477" s="8"/>
      <c r="C477" s="8"/>
      <c r="D477" s="8"/>
      <c r="E477" s="8"/>
      <c r="F477" s="129"/>
      <c r="G477" s="8"/>
      <c r="L477" s="128"/>
      <c r="Q477" s="128"/>
    </row>
    <row r="478">
      <c r="B478" s="8"/>
      <c r="C478" s="8"/>
      <c r="D478" s="8"/>
      <c r="E478" s="8"/>
      <c r="F478" s="129"/>
      <c r="G478" s="8"/>
      <c r="L478" s="128"/>
      <c r="Q478" s="128"/>
    </row>
    <row r="479">
      <c r="B479" s="8"/>
      <c r="C479" s="8"/>
      <c r="D479" s="8"/>
      <c r="E479" s="8"/>
      <c r="F479" s="129"/>
      <c r="G479" s="8"/>
      <c r="L479" s="128"/>
      <c r="Q479" s="128"/>
    </row>
    <row r="480">
      <c r="B480" s="8"/>
      <c r="C480" s="8"/>
      <c r="D480" s="8"/>
      <c r="E480" s="8"/>
      <c r="F480" s="129"/>
      <c r="G480" s="8"/>
      <c r="L480" s="128"/>
      <c r="Q480" s="128"/>
    </row>
    <row r="481">
      <c r="B481" s="8"/>
      <c r="C481" s="8"/>
      <c r="D481" s="8"/>
      <c r="E481" s="8"/>
      <c r="F481" s="129"/>
      <c r="G481" s="8"/>
      <c r="L481" s="128"/>
      <c r="Q481" s="128"/>
    </row>
    <row r="482">
      <c r="B482" s="8"/>
      <c r="C482" s="8"/>
      <c r="D482" s="8"/>
      <c r="E482" s="8"/>
      <c r="F482" s="129"/>
      <c r="G482" s="8"/>
      <c r="L482" s="128"/>
      <c r="Q482" s="128"/>
    </row>
    <row r="483">
      <c r="B483" s="8"/>
      <c r="C483" s="8"/>
      <c r="D483" s="8"/>
      <c r="E483" s="8"/>
      <c r="F483" s="129"/>
      <c r="G483" s="8"/>
      <c r="L483" s="128"/>
      <c r="Q483" s="128"/>
    </row>
    <row r="484">
      <c r="B484" s="8"/>
      <c r="C484" s="8"/>
      <c r="D484" s="8"/>
      <c r="E484" s="8"/>
      <c r="F484" s="129"/>
      <c r="G484" s="8"/>
      <c r="L484" s="128"/>
      <c r="Q484" s="128"/>
    </row>
    <row r="485">
      <c r="B485" s="8"/>
      <c r="C485" s="8"/>
      <c r="D485" s="8"/>
      <c r="E485" s="8"/>
      <c r="F485" s="129"/>
      <c r="G485" s="8"/>
      <c r="L485" s="128"/>
      <c r="Q485" s="128"/>
    </row>
    <row r="486">
      <c r="B486" s="8"/>
      <c r="C486" s="8"/>
      <c r="D486" s="8"/>
      <c r="E486" s="8"/>
      <c r="F486" s="129"/>
      <c r="G486" s="8"/>
      <c r="L486" s="128"/>
      <c r="Q486" s="128"/>
    </row>
    <row r="487">
      <c r="B487" s="8"/>
      <c r="C487" s="8"/>
      <c r="D487" s="8"/>
      <c r="E487" s="8"/>
      <c r="F487" s="129"/>
      <c r="G487" s="8"/>
      <c r="L487" s="128"/>
      <c r="Q487" s="128"/>
    </row>
    <row r="488">
      <c r="B488" s="8"/>
      <c r="C488" s="8"/>
      <c r="D488" s="8"/>
      <c r="E488" s="8"/>
      <c r="F488" s="129"/>
      <c r="G488" s="8"/>
      <c r="L488" s="128"/>
      <c r="Q488" s="128"/>
    </row>
    <row r="489">
      <c r="B489" s="8"/>
      <c r="C489" s="8"/>
      <c r="D489" s="8"/>
      <c r="E489" s="8"/>
      <c r="F489" s="129"/>
      <c r="G489" s="8"/>
      <c r="L489" s="128"/>
      <c r="Q489" s="128"/>
    </row>
    <row r="490">
      <c r="B490" s="8"/>
      <c r="C490" s="8"/>
      <c r="D490" s="8"/>
      <c r="E490" s="8"/>
      <c r="F490" s="129"/>
      <c r="G490" s="8"/>
      <c r="L490" s="128"/>
      <c r="Q490" s="128"/>
    </row>
    <row r="491">
      <c r="B491" s="8"/>
      <c r="C491" s="8"/>
      <c r="D491" s="8"/>
      <c r="E491" s="8"/>
      <c r="F491" s="129"/>
      <c r="G491" s="8"/>
      <c r="L491" s="128"/>
      <c r="Q491" s="128"/>
    </row>
    <row r="492">
      <c r="B492" s="8"/>
      <c r="C492" s="8"/>
      <c r="D492" s="8"/>
      <c r="E492" s="8"/>
      <c r="F492" s="129"/>
      <c r="G492" s="8"/>
      <c r="L492" s="128"/>
      <c r="Q492" s="128"/>
    </row>
    <row r="493">
      <c r="B493" s="8"/>
      <c r="C493" s="8"/>
      <c r="D493" s="8"/>
      <c r="E493" s="8"/>
      <c r="F493" s="129"/>
      <c r="G493" s="8"/>
      <c r="L493" s="128"/>
      <c r="Q493" s="128"/>
    </row>
    <row r="494">
      <c r="B494" s="8"/>
      <c r="C494" s="8"/>
      <c r="D494" s="8"/>
      <c r="E494" s="8"/>
      <c r="F494" s="129"/>
      <c r="G494" s="8"/>
      <c r="L494" s="128"/>
      <c r="Q494" s="128"/>
    </row>
    <row r="495">
      <c r="B495" s="8"/>
      <c r="C495" s="8"/>
      <c r="D495" s="8"/>
      <c r="E495" s="8"/>
      <c r="F495" s="129"/>
      <c r="G495" s="8"/>
      <c r="L495" s="128"/>
      <c r="Q495" s="128"/>
    </row>
    <row r="496">
      <c r="B496" s="8"/>
      <c r="C496" s="8"/>
      <c r="D496" s="8"/>
      <c r="E496" s="8"/>
      <c r="F496" s="129"/>
      <c r="G496" s="8"/>
      <c r="L496" s="128"/>
      <c r="Q496" s="128"/>
    </row>
    <row r="497">
      <c r="B497" s="8"/>
      <c r="C497" s="8"/>
      <c r="D497" s="8"/>
      <c r="E497" s="8"/>
      <c r="F497" s="129"/>
      <c r="G497" s="8"/>
      <c r="L497" s="128"/>
      <c r="Q497" s="128"/>
    </row>
    <row r="498">
      <c r="B498" s="8"/>
      <c r="C498" s="8"/>
      <c r="D498" s="8"/>
      <c r="E498" s="8"/>
      <c r="F498" s="129"/>
      <c r="G498" s="8"/>
      <c r="L498" s="128"/>
      <c r="Q498" s="128"/>
    </row>
    <row r="499">
      <c r="B499" s="8"/>
      <c r="C499" s="8"/>
      <c r="D499" s="8"/>
      <c r="E499" s="8"/>
      <c r="F499" s="129"/>
      <c r="G499" s="8"/>
      <c r="L499" s="128"/>
      <c r="Q499" s="128"/>
    </row>
    <row r="500">
      <c r="B500" s="8"/>
      <c r="C500" s="8"/>
      <c r="D500" s="8"/>
      <c r="E500" s="8"/>
      <c r="F500" s="129"/>
      <c r="G500" s="8"/>
      <c r="L500" s="128"/>
      <c r="Q500" s="128"/>
    </row>
    <row r="501">
      <c r="B501" s="8"/>
      <c r="C501" s="8"/>
      <c r="D501" s="8"/>
      <c r="E501" s="8"/>
      <c r="F501" s="129"/>
      <c r="G501" s="8"/>
      <c r="L501" s="128"/>
      <c r="Q501" s="128"/>
    </row>
    <row r="502">
      <c r="B502" s="8"/>
      <c r="C502" s="8"/>
      <c r="D502" s="8"/>
      <c r="E502" s="8"/>
      <c r="F502" s="129"/>
      <c r="G502" s="8"/>
      <c r="L502" s="128"/>
      <c r="Q502" s="128"/>
    </row>
    <row r="503">
      <c r="B503" s="8"/>
      <c r="C503" s="8"/>
      <c r="D503" s="8"/>
      <c r="E503" s="8"/>
      <c r="F503" s="129"/>
      <c r="G503" s="8"/>
      <c r="L503" s="128"/>
      <c r="Q503" s="128"/>
    </row>
    <row r="504">
      <c r="B504" s="8"/>
      <c r="C504" s="8"/>
      <c r="D504" s="8"/>
      <c r="E504" s="8"/>
      <c r="F504" s="129"/>
      <c r="G504" s="8"/>
      <c r="L504" s="128"/>
      <c r="Q504" s="128"/>
    </row>
    <row r="505">
      <c r="B505" s="8"/>
      <c r="C505" s="8"/>
      <c r="D505" s="8"/>
      <c r="E505" s="8"/>
      <c r="F505" s="129"/>
      <c r="G505" s="8"/>
      <c r="L505" s="128"/>
      <c r="Q505" s="128"/>
    </row>
    <row r="506">
      <c r="B506" s="8"/>
      <c r="C506" s="8"/>
      <c r="D506" s="8"/>
      <c r="E506" s="8"/>
      <c r="F506" s="129"/>
      <c r="G506" s="8"/>
      <c r="L506" s="128"/>
      <c r="Q506" s="128"/>
    </row>
    <row r="507">
      <c r="B507" s="8"/>
      <c r="C507" s="8"/>
      <c r="D507" s="8"/>
      <c r="E507" s="8"/>
      <c r="F507" s="129"/>
      <c r="G507" s="8"/>
      <c r="L507" s="128"/>
      <c r="Q507" s="128"/>
    </row>
    <row r="508">
      <c r="B508" s="8"/>
      <c r="C508" s="8"/>
      <c r="D508" s="8"/>
      <c r="E508" s="8"/>
      <c r="F508" s="129"/>
      <c r="G508" s="8"/>
      <c r="L508" s="128"/>
      <c r="Q508" s="128"/>
    </row>
    <row r="509">
      <c r="B509" s="8"/>
      <c r="C509" s="8"/>
      <c r="D509" s="8"/>
      <c r="E509" s="8"/>
      <c r="F509" s="129"/>
      <c r="G509" s="8"/>
      <c r="L509" s="128"/>
      <c r="Q509" s="128"/>
    </row>
    <row r="510">
      <c r="B510" s="8"/>
      <c r="C510" s="8"/>
      <c r="D510" s="8"/>
      <c r="E510" s="8"/>
      <c r="F510" s="129"/>
      <c r="G510" s="8"/>
      <c r="L510" s="128"/>
      <c r="Q510" s="128"/>
    </row>
    <row r="511">
      <c r="B511" s="8"/>
      <c r="C511" s="8"/>
      <c r="D511" s="8"/>
      <c r="E511" s="8"/>
      <c r="F511" s="129"/>
      <c r="G511" s="8"/>
      <c r="L511" s="128"/>
      <c r="Q511" s="128"/>
    </row>
    <row r="512">
      <c r="B512" s="8"/>
      <c r="C512" s="8"/>
      <c r="D512" s="8"/>
      <c r="E512" s="8"/>
      <c r="F512" s="129"/>
      <c r="G512" s="8"/>
      <c r="L512" s="128"/>
      <c r="Q512" s="128"/>
    </row>
    <row r="513">
      <c r="B513" s="8"/>
      <c r="C513" s="8"/>
      <c r="D513" s="8"/>
      <c r="E513" s="8"/>
      <c r="F513" s="129"/>
      <c r="G513" s="8"/>
      <c r="L513" s="128"/>
      <c r="Q513" s="128"/>
    </row>
    <row r="514">
      <c r="B514" s="8"/>
      <c r="C514" s="8"/>
      <c r="D514" s="8"/>
      <c r="E514" s="8"/>
      <c r="F514" s="129"/>
      <c r="G514" s="8"/>
      <c r="L514" s="128"/>
      <c r="Q514" s="128"/>
    </row>
    <row r="515">
      <c r="B515" s="8"/>
      <c r="C515" s="8"/>
      <c r="D515" s="8"/>
      <c r="E515" s="8"/>
      <c r="F515" s="129"/>
      <c r="G515" s="8"/>
      <c r="L515" s="128"/>
      <c r="Q515" s="128"/>
    </row>
    <row r="516">
      <c r="B516" s="8"/>
      <c r="C516" s="8"/>
      <c r="D516" s="8"/>
      <c r="E516" s="8"/>
      <c r="F516" s="129"/>
      <c r="G516" s="8"/>
      <c r="L516" s="128"/>
      <c r="Q516" s="128"/>
    </row>
    <row r="517">
      <c r="B517" s="8"/>
      <c r="C517" s="8"/>
      <c r="D517" s="8"/>
      <c r="E517" s="8"/>
      <c r="F517" s="129"/>
      <c r="G517" s="8"/>
      <c r="L517" s="128"/>
      <c r="Q517" s="128"/>
    </row>
    <row r="518">
      <c r="B518" s="8"/>
      <c r="C518" s="8"/>
      <c r="D518" s="8"/>
      <c r="E518" s="8"/>
      <c r="F518" s="129"/>
      <c r="G518" s="8"/>
      <c r="L518" s="128"/>
      <c r="Q518" s="128"/>
    </row>
    <row r="519">
      <c r="B519" s="8"/>
      <c r="C519" s="8"/>
      <c r="D519" s="8"/>
      <c r="E519" s="8"/>
      <c r="F519" s="129"/>
      <c r="G519" s="8"/>
      <c r="L519" s="128"/>
      <c r="Q519" s="128"/>
    </row>
    <row r="520">
      <c r="B520" s="8"/>
      <c r="C520" s="8"/>
      <c r="D520" s="8"/>
      <c r="E520" s="8"/>
      <c r="F520" s="129"/>
      <c r="G520" s="8"/>
      <c r="L520" s="128"/>
      <c r="Q520" s="128"/>
    </row>
    <row r="521">
      <c r="B521" s="8"/>
      <c r="C521" s="8"/>
      <c r="D521" s="8"/>
      <c r="E521" s="8"/>
      <c r="F521" s="129"/>
      <c r="G521" s="8"/>
      <c r="L521" s="128"/>
      <c r="Q521" s="128"/>
    </row>
    <row r="522">
      <c r="B522" s="8"/>
      <c r="C522" s="8"/>
      <c r="D522" s="8"/>
      <c r="E522" s="8"/>
      <c r="F522" s="129"/>
      <c r="G522" s="8"/>
      <c r="L522" s="128"/>
      <c r="Q522" s="128"/>
    </row>
    <row r="523">
      <c r="B523" s="8"/>
      <c r="C523" s="8"/>
      <c r="D523" s="8"/>
      <c r="E523" s="8"/>
      <c r="F523" s="129"/>
      <c r="G523" s="8"/>
      <c r="L523" s="128"/>
      <c r="Q523" s="128"/>
    </row>
    <row r="524">
      <c r="B524" s="8"/>
      <c r="C524" s="8"/>
      <c r="D524" s="8"/>
      <c r="E524" s="8"/>
      <c r="F524" s="129"/>
      <c r="G524" s="8"/>
      <c r="L524" s="128"/>
      <c r="Q524" s="128"/>
    </row>
    <row r="525">
      <c r="B525" s="8"/>
      <c r="C525" s="8"/>
      <c r="D525" s="8"/>
      <c r="E525" s="8"/>
      <c r="F525" s="129"/>
      <c r="G525" s="8"/>
      <c r="L525" s="128"/>
      <c r="Q525" s="128"/>
    </row>
    <row r="526">
      <c r="B526" s="8"/>
      <c r="C526" s="8"/>
      <c r="D526" s="8"/>
      <c r="E526" s="8"/>
      <c r="F526" s="129"/>
      <c r="G526" s="8"/>
      <c r="L526" s="128"/>
      <c r="Q526" s="128"/>
    </row>
    <row r="527">
      <c r="B527" s="8"/>
      <c r="C527" s="8"/>
      <c r="D527" s="8"/>
      <c r="E527" s="8"/>
      <c r="F527" s="129"/>
      <c r="G527" s="8"/>
      <c r="L527" s="128"/>
      <c r="Q527" s="128"/>
    </row>
    <row r="528">
      <c r="B528" s="8"/>
      <c r="C528" s="8"/>
      <c r="D528" s="8"/>
      <c r="E528" s="8"/>
      <c r="F528" s="129"/>
      <c r="G528" s="8"/>
      <c r="L528" s="128"/>
      <c r="Q528" s="128"/>
    </row>
    <row r="529">
      <c r="B529" s="8"/>
      <c r="C529" s="8"/>
      <c r="D529" s="8"/>
      <c r="E529" s="8"/>
      <c r="F529" s="129"/>
      <c r="G529" s="8"/>
      <c r="L529" s="128"/>
      <c r="Q529" s="128"/>
    </row>
    <row r="530">
      <c r="B530" s="8"/>
      <c r="C530" s="8"/>
      <c r="D530" s="8"/>
      <c r="E530" s="8"/>
      <c r="F530" s="129"/>
      <c r="G530" s="8"/>
      <c r="L530" s="128"/>
      <c r="Q530" s="128"/>
    </row>
    <row r="531">
      <c r="B531" s="8"/>
      <c r="C531" s="8"/>
      <c r="D531" s="8"/>
      <c r="E531" s="8"/>
      <c r="F531" s="129"/>
      <c r="G531" s="8"/>
      <c r="L531" s="128"/>
      <c r="Q531" s="128"/>
    </row>
    <row r="532">
      <c r="B532" s="8"/>
      <c r="C532" s="8"/>
      <c r="D532" s="8"/>
      <c r="E532" s="8"/>
      <c r="F532" s="129"/>
      <c r="G532" s="8"/>
      <c r="L532" s="128"/>
      <c r="Q532" s="128"/>
    </row>
    <row r="533">
      <c r="B533" s="8"/>
      <c r="C533" s="8"/>
      <c r="D533" s="8"/>
      <c r="E533" s="8"/>
      <c r="F533" s="129"/>
      <c r="G533" s="8"/>
      <c r="L533" s="128"/>
      <c r="Q533" s="128"/>
    </row>
    <row r="534">
      <c r="B534" s="8"/>
      <c r="C534" s="8"/>
      <c r="D534" s="8"/>
      <c r="E534" s="8"/>
      <c r="F534" s="129"/>
      <c r="G534" s="8"/>
      <c r="L534" s="128"/>
      <c r="Q534" s="128"/>
    </row>
    <row r="535">
      <c r="B535" s="8"/>
      <c r="C535" s="8"/>
      <c r="D535" s="8"/>
      <c r="E535" s="8"/>
      <c r="F535" s="129"/>
      <c r="G535" s="8"/>
      <c r="L535" s="128"/>
      <c r="Q535" s="128"/>
    </row>
    <row r="536">
      <c r="B536" s="8"/>
      <c r="C536" s="8"/>
      <c r="D536" s="8"/>
      <c r="E536" s="8"/>
      <c r="F536" s="129"/>
      <c r="G536" s="8"/>
      <c r="L536" s="128"/>
      <c r="Q536" s="128"/>
    </row>
    <row r="537">
      <c r="B537" s="8"/>
      <c r="C537" s="8"/>
      <c r="D537" s="8"/>
      <c r="E537" s="8"/>
      <c r="F537" s="129"/>
      <c r="G537" s="8"/>
      <c r="L537" s="128"/>
      <c r="Q537" s="128"/>
    </row>
    <row r="538">
      <c r="B538" s="8"/>
      <c r="C538" s="8"/>
      <c r="D538" s="8"/>
      <c r="E538" s="8"/>
      <c r="F538" s="129"/>
      <c r="G538" s="8"/>
      <c r="L538" s="128"/>
      <c r="Q538" s="128"/>
    </row>
    <row r="539">
      <c r="B539" s="8"/>
      <c r="C539" s="8"/>
      <c r="D539" s="8"/>
      <c r="E539" s="8"/>
      <c r="F539" s="129"/>
      <c r="G539" s="8"/>
      <c r="L539" s="128"/>
      <c r="Q539" s="128"/>
    </row>
    <row r="540">
      <c r="B540" s="8"/>
      <c r="C540" s="8"/>
      <c r="D540" s="8"/>
      <c r="E540" s="8"/>
      <c r="F540" s="129"/>
      <c r="G540" s="8"/>
      <c r="L540" s="128"/>
      <c r="Q540" s="128"/>
    </row>
    <row r="541">
      <c r="B541" s="8"/>
      <c r="C541" s="8"/>
      <c r="D541" s="8"/>
      <c r="E541" s="8"/>
      <c r="F541" s="129"/>
      <c r="G541" s="8"/>
      <c r="L541" s="128"/>
      <c r="Q541" s="128"/>
    </row>
    <row r="542">
      <c r="B542" s="8"/>
      <c r="C542" s="8"/>
      <c r="D542" s="8"/>
      <c r="E542" s="8"/>
      <c r="F542" s="129"/>
      <c r="G542" s="8"/>
      <c r="L542" s="128"/>
      <c r="Q542" s="128"/>
    </row>
    <row r="543">
      <c r="B543" s="8"/>
      <c r="C543" s="8"/>
      <c r="D543" s="8"/>
      <c r="E543" s="8"/>
      <c r="F543" s="129"/>
      <c r="G543" s="8"/>
      <c r="L543" s="128"/>
      <c r="Q543" s="128"/>
    </row>
    <row r="544">
      <c r="B544" s="8"/>
      <c r="C544" s="8"/>
      <c r="D544" s="8"/>
      <c r="E544" s="8"/>
      <c r="F544" s="129"/>
      <c r="G544" s="8"/>
      <c r="L544" s="128"/>
      <c r="Q544" s="128"/>
    </row>
    <row r="545">
      <c r="B545" s="8"/>
      <c r="C545" s="8"/>
      <c r="D545" s="8"/>
      <c r="E545" s="8"/>
      <c r="F545" s="129"/>
      <c r="G545" s="8"/>
      <c r="L545" s="128"/>
      <c r="Q545" s="128"/>
    </row>
    <row r="546">
      <c r="B546" s="8"/>
      <c r="C546" s="8"/>
      <c r="D546" s="8"/>
      <c r="E546" s="8"/>
      <c r="F546" s="129"/>
      <c r="G546" s="8"/>
      <c r="L546" s="128"/>
      <c r="Q546" s="128"/>
    </row>
    <row r="547">
      <c r="B547" s="8"/>
      <c r="C547" s="8"/>
      <c r="D547" s="8"/>
      <c r="E547" s="8"/>
      <c r="F547" s="129"/>
      <c r="G547" s="8"/>
      <c r="L547" s="128"/>
      <c r="Q547" s="128"/>
    </row>
    <row r="548">
      <c r="B548" s="8"/>
      <c r="C548" s="8"/>
      <c r="D548" s="8"/>
      <c r="E548" s="8"/>
      <c r="F548" s="129"/>
      <c r="G548" s="8"/>
      <c r="L548" s="128"/>
      <c r="Q548" s="128"/>
    </row>
    <row r="549">
      <c r="B549" s="8"/>
      <c r="C549" s="8"/>
      <c r="D549" s="8"/>
      <c r="E549" s="8"/>
      <c r="F549" s="129"/>
      <c r="G549" s="8"/>
      <c r="L549" s="128"/>
      <c r="Q549" s="128"/>
    </row>
    <row r="550">
      <c r="B550" s="8"/>
      <c r="C550" s="8"/>
      <c r="D550" s="8"/>
      <c r="E550" s="8"/>
      <c r="F550" s="129"/>
      <c r="G550" s="8"/>
      <c r="L550" s="128"/>
      <c r="Q550" s="128"/>
    </row>
    <row r="551">
      <c r="B551" s="8"/>
      <c r="C551" s="8"/>
      <c r="D551" s="8"/>
      <c r="E551" s="8"/>
      <c r="F551" s="129"/>
      <c r="G551" s="8"/>
      <c r="L551" s="128"/>
      <c r="Q551" s="128"/>
    </row>
    <row r="552">
      <c r="B552" s="8"/>
      <c r="C552" s="8"/>
      <c r="D552" s="8"/>
      <c r="E552" s="8"/>
      <c r="F552" s="129"/>
      <c r="G552" s="8"/>
      <c r="L552" s="128"/>
      <c r="Q552" s="128"/>
    </row>
    <row r="553">
      <c r="B553" s="8"/>
      <c r="C553" s="8"/>
      <c r="D553" s="8"/>
      <c r="E553" s="8"/>
      <c r="F553" s="129"/>
      <c r="G553" s="8"/>
      <c r="L553" s="128"/>
      <c r="Q553" s="128"/>
    </row>
    <row r="554">
      <c r="B554" s="8"/>
      <c r="C554" s="8"/>
      <c r="D554" s="8"/>
      <c r="E554" s="8"/>
      <c r="F554" s="129"/>
      <c r="G554" s="8"/>
      <c r="L554" s="128"/>
      <c r="Q554" s="128"/>
    </row>
    <row r="555">
      <c r="B555" s="8"/>
      <c r="C555" s="8"/>
      <c r="D555" s="8"/>
      <c r="E555" s="8"/>
      <c r="F555" s="129"/>
      <c r="G555" s="8"/>
      <c r="L555" s="128"/>
      <c r="Q555" s="128"/>
    </row>
    <row r="556">
      <c r="B556" s="8"/>
      <c r="C556" s="8"/>
      <c r="D556" s="8"/>
      <c r="E556" s="8"/>
      <c r="F556" s="129"/>
      <c r="G556" s="8"/>
      <c r="L556" s="128"/>
      <c r="Q556" s="128"/>
    </row>
    <row r="557">
      <c r="B557" s="8"/>
      <c r="C557" s="8"/>
      <c r="D557" s="8"/>
      <c r="E557" s="8"/>
      <c r="F557" s="129"/>
      <c r="G557" s="8"/>
      <c r="L557" s="128"/>
      <c r="Q557" s="128"/>
    </row>
    <row r="558">
      <c r="B558" s="8"/>
      <c r="C558" s="8"/>
      <c r="D558" s="8"/>
      <c r="E558" s="8"/>
      <c r="F558" s="129"/>
      <c r="G558" s="8"/>
      <c r="L558" s="128"/>
      <c r="Q558" s="128"/>
    </row>
    <row r="559">
      <c r="B559" s="8"/>
      <c r="C559" s="8"/>
      <c r="D559" s="8"/>
      <c r="E559" s="8"/>
      <c r="F559" s="129"/>
      <c r="G559" s="8"/>
      <c r="L559" s="128"/>
      <c r="Q559" s="128"/>
    </row>
    <row r="560">
      <c r="B560" s="8"/>
      <c r="C560" s="8"/>
      <c r="D560" s="8"/>
      <c r="E560" s="8"/>
      <c r="F560" s="129"/>
      <c r="G560" s="8"/>
      <c r="L560" s="128"/>
      <c r="Q560" s="128"/>
    </row>
    <row r="561">
      <c r="B561" s="8"/>
      <c r="C561" s="8"/>
      <c r="D561" s="8"/>
      <c r="E561" s="8"/>
      <c r="F561" s="129"/>
      <c r="G561" s="8"/>
      <c r="L561" s="128"/>
      <c r="Q561" s="128"/>
    </row>
    <row r="562">
      <c r="B562" s="8"/>
      <c r="C562" s="8"/>
      <c r="D562" s="8"/>
      <c r="E562" s="8"/>
      <c r="F562" s="129"/>
      <c r="G562" s="8"/>
      <c r="L562" s="128"/>
      <c r="Q562" s="128"/>
    </row>
    <row r="563">
      <c r="B563" s="8"/>
      <c r="C563" s="8"/>
      <c r="D563" s="8"/>
      <c r="E563" s="8"/>
      <c r="F563" s="129"/>
      <c r="G563" s="8"/>
      <c r="L563" s="128"/>
      <c r="Q563" s="128"/>
    </row>
    <row r="564">
      <c r="B564" s="8"/>
      <c r="C564" s="8"/>
      <c r="D564" s="8"/>
      <c r="E564" s="8"/>
      <c r="F564" s="129"/>
      <c r="G564" s="8"/>
      <c r="L564" s="128"/>
      <c r="Q564" s="128"/>
    </row>
    <row r="565">
      <c r="B565" s="8"/>
      <c r="C565" s="8"/>
      <c r="D565" s="8"/>
      <c r="E565" s="8"/>
      <c r="F565" s="129"/>
      <c r="G565" s="8"/>
      <c r="L565" s="128"/>
      <c r="Q565" s="128"/>
    </row>
    <row r="566">
      <c r="B566" s="8"/>
      <c r="C566" s="8"/>
      <c r="D566" s="8"/>
      <c r="E566" s="8"/>
      <c r="F566" s="129"/>
      <c r="G566" s="8"/>
      <c r="L566" s="128"/>
      <c r="Q566" s="128"/>
    </row>
    <row r="567">
      <c r="B567" s="8"/>
      <c r="C567" s="8"/>
      <c r="D567" s="8"/>
      <c r="E567" s="8"/>
      <c r="F567" s="129"/>
      <c r="G567" s="8"/>
      <c r="L567" s="128"/>
      <c r="Q567" s="128"/>
    </row>
    <row r="568">
      <c r="B568" s="8"/>
      <c r="C568" s="8"/>
      <c r="D568" s="8"/>
      <c r="E568" s="8"/>
      <c r="F568" s="129"/>
      <c r="G568" s="8"/>
      <c r="L568" s="128"/>
      <c r="Q568" s="128"/>
    </row>
    <row r="569">
      <c r="B569" s="8"/>
      <c r="C569" s="8"/>
      <c r="D569" s="8"/>
      <c r="E569" s="8"/>
      <c r="F569" s="129"/>
      <c r="G569" s="8"/>
      <c r="L569" s="128"/>
      <c r="Q569" s="128"/>
    </row>
    <row r="570">
      <c r="B570" s="8"/>
      <c r="C570" s="8"/>
      <c r="D570" s="8"/>
      <c r="E570" s="8"/>
      <c r="F570" s="129"/>
      <c r="G570" s="8"/>
      <c r="L570" s="128"/>
      <c r="Q570" s="128"/>
    </row>
    <row r="571">
      <c r="B571" s="8"/>
      <c r="C571" s="8"/>
      <c r="D571" s="8"/>
      <c r="E571" s="8"/>
      <c r="F571" s="129"/>
      <c r="G571" s="8"/>
      <c r="L571" s="128"/>
      <c r="Q571" s="128"/>
    </row>
    <row r="572">
      <c r="B572" s="8"/>
      <c r="C572" s="8"/>
      <c r="D572" s="8"/>
      <c r="E572" s="8"/>
      <c r="F572" s="129"/>
      <c r="G572" s="8"/>
      <c r="L572" s="128"/>
      <c r="Q572" s="128"/>
    </row>
    <row r="573">
      <c r="B573" s="8"/>
      <c r="C573" s="8"/>
      <c r="D573" s="8"/>
      <c r="E573" s="8"/>
      <c r="F573" s="129"/>
      <c r="G573" s="8"/>
      <c r="L573" s="128"/>
      <c r="Q573" s="128"/>
    </row>
    <row r="574">
      <c r="B574" s="8"/>
      <c r="C574" s="8"/>
      <c r="D574" s="8"/>
      <c r="E574" s="8"/>
      <c r="F574" s="129"/>
      <c r="G574" s="8"/>
      <c r="L574" s="128"/>
      <c r="Q574" s="128"/>
    </row>
    <row r="575">
      <c r="B575" s="8"/>
      <c r="C575" s="8"/>
      <c r="D575" s="8"/>
      <c r="E575" s="8"/>
      <c r="F575" s="129"/>
      <c r="G575" s="8"/>
      <c r="L575" s="128"/>
      <c r="Q575" s="128"/>
    </row>
    <row r="576">
      <c r="B576" s="8"/>
      <c r="C576" s="8"/>
      <c r="D576" s="8"/>
      <c r="E576" s="8"/>
      <c r="F576" s="129"/>
      <c r="G576" s="8"/>
      <c r="L576" s="128"/>
      <c r="Q576" s="128"/>
    </row>
    <row r="577">
      <c r="B577" s="8"/>
      <c r="C577" s="8"/>
      <c r="D577" s="8"/>
      <c r="E577" s="8"/>
      <c r="F577" s="129"/>
      <c r="G577" s="8"/>
      <c r="L577" s="128"/>
      <c r="Q577" s="128"/>
    </row>
    <row r="578">
      <c r="B578" s="8"/>
      <c r="C578" s="8"/>
      <c r="D578" s="8"/>
      <c r="E578" s="8"/>
      <c r="F578" s="129"/>
      <c r="G578" s="8"/>
      <c r="L578" s="128"/>
      <c r="Q578" s="128"/>
    </row>
    <row r="579">
      <c r="B579" s="8"/>
      <c r="C579" s="8"/>
      <c r="D579" s="8"/>
      <c r="E579" s="8"/>
      <c r="F579" s="129"/>
      <c r="G579" s="8"/>
      <c r="L579" s="128"/>
      <c r="Q579" s="128"/>
    </row>
    <row r="580">
      <c r="B580" s="8"/>
      <c r="C580" s="8"/>
      <c r="D580" s="8"/>
      <c r="E580" s="8"/>
      <c r="F580" s="129"/>
      <c r="G580" s="8"/>
      <c r="L580" s="128"/>
      <c r="Q580" s="128"/>
    </row>
    <row r="581">
      <c r="B581" s="8"/>
      <c r="C581" s="8"/>
      <c r="D581" s="8"/>
      <c r="E581" s="8"/>
      <c r="F581" s="129"/>
      <c r="G581" s="8"/>
      <c r="L581" s="128"/>
      <c r="Q581" s="128"/>
    </row>
    <row r="582">
      <c r="B582" s="8"/>
      <c r="C582" s="8"/>
      <c r="D582" s="8"/>
      <c r="E582" s="8"/>
      <c r="F582" s="129"/>
      <c r="G582" s="8"/>
      <c r="L582" s="128"/>
      <c r="Q582" s="128"/>
    </row>
    <row r="583">
      <c r="B583" s="8"/>
      <c r="C583" s="8"/>
      <c r="D583" s="8"/>
      <c r="E583" s="8"/>
      <c r="F583" s="129"/>
      <c r="G583" s="8"/>
      <c r="L583" s="128"/>
      <c r="Q583" s="128"/>
    </row>
    <row r="584">
      <c r="B584" s="8"/>
      <c r="C584" s="8"/>
      <c r="D584" s="8"/>
      <c r="E584" s="8"/>
      <c r="F584" s="129"/>
      <c r="G584" s="8"/>
      <c r="L584" s="128"/>
      <c r="Q584" s="128"/>
    </row>
    <row r="585">
      <c r="B585" s="8"/>
      <c r="C585" s="8"/>
      <c r="D585" s="8"/>
      <c r="E585" s="8"/>
      <c r="F585" s="129"/>
      <c r="G585" s="8"/>
      <c r="L585" s="128"/>
      <c r="Q585" s="128"/>
    </row>
    <row r="586">
      <c r="B586" s="8"/>
      <c r="C586" s="8"/>
      <c r="D586" s="8"/>
      <c r="E586" s="8"/>
      <c r="F586" s="129"/>
      <c r="G586" s="8"/>
      <c r="L586" s="128"/>
      <c r="Q586" s="128"/>
    </row>
    <row r="587">
      <c r="B587" s="8"/>
      <c r="C587" s="8"/>
      <c r="D587" s="8"/>
      <c r="E587" s="8"/>
      <c r="F587" s="129"/>
      <c r="G587" s="8"/>
      <c r="L587" s="128"/>
      <c r="Q587" s="128"/>
    </row>
    <row r="588">
      <c r="B588" s="8"/>
      <c r="C588" s="8"/>
      <c r="D588" s="8"/>
      <c r="E588" s="8"/>
      <c r="F588" s="129"/>
      <c r="G588" s="8"/>
      <c r="L588" s="128"/>
      <c r="Q588" s="128"/>
    </row>
    <row r="589">
      <c r="B589" s="8"/>
      <c r="C589" s="8"/>
      <c r="D589" s="8"/>
      <c r="E589" s="8"/>
      <c r="F589" s="129"/>
      <c r="G589" s="8"/>
      <c r="L589" s="128"/>
      <c r="Q589" s="128"/>
    </row>
    <row r="590">
      <c r="B590" s="8"/>
      <c r="C590" s="8"/>
      <c r="D590" s="8"/>
      <c r="E590" s="8"/>
      <c r="F590" s="129"/>
      <c r="G590" s="8"/>
      <c r="L590" s="128"/>
      <c r="Q590" s="128"/>
    </row>
    <row r="591">
      <c r="B591" s="8"/>
      <c r="C591" s="8"/>
      <c r="D591" s="8"/>
      <c r="E591" s="8"/>
      <c r="F591" s="129"/>
      <c r="G591" s="8"/>
      <c r="L591" s="128"/>
      <c r="Q591" s="128"/>
    </row>
    <row r="592">
      <c r="B592" s="8"/>
      <c r="C592" s="8"/>
      <c r="D592" s="8"/>
      <c r="E592" s="8"/>
      <c r="F592" s="129"/>
      <c r="G592" s="8"/>
      <c r="L592" s="128"/>
      <c r="Q592" s="128"/>
    </row>
    <row r="593">
      <c r="B593" s="8"/>
      <c r="C593" s="8"/>
      <c r="D593" s="8"/>
      <c r="E593" s="8"/>
      <c r="F593" s="129"/>
      <c r="G593" s="8"/>
      <c r="L593" s="128"/>
      <c r="Q593" s="128"/>
    </row>
    <row r="594">
      <c r="B594" s="8"/>
      <c r="C594" s="8"/>
      <c r="D594" s="8"/>
      <c r="E594" s="8"/>
      <c r="F594" s="129"/>
      <c r="G594" s="8"/>
      <c r="L594" s="128"/>
      <c r="Q594" s="128"/>
    </row>
    <row r="595">
      <c r="B595" s="8"/>
      <c r="C595" s="8"/>
      <c r="D595" s="8"/>
      <c r="E595" s="8"/>
      <c r="F595" s="129"/>
      <c r="G595" s="8"/>
      <c r="L595" s="128"/>
      <c r="Q595" s="128"/>
    </row>
    <row r="596">
      <c r="B596" s="8"/>
      <c r="C596" s="8"/>
      <c r="D596" s="8"/>
      <c r="E596" s="8"/>
      <c r="F596" s="129"/>
      <c r="G596" s="8"/>
      <c r="L596" s="128"/>
      <c r="Q596" s="128"/>
    </row>
    <row r="597">
      <c r="B597" s="8"/>
      <c r="C597" s="8"/>
      <c r="D597" s="8"/>
      <c r="E597" s="8"/>
      <c r="F597" s="129"/>
      <c r="G597" s="8"/>
      <c r="L597" s="128"/>
      <c r="Q597" s="128"/>
    </row>
    <row r="598">
      <c r="B598" s="8"/>
      <c r="C598" s="8"/>
      <c r="D598" s="8"/>
      <c r="E598" s="8"/>
      <c r="F598" s="129"/>
      <c r="G598" s="8"/>
      <c r="L598" s="128"/>
      <c r="Q598" s="128"/>
    </row>
    <row r="599">
      <c r="B599" s="8"/>
      <c r="C599" s="8"/>
      <c r="D599" s="8"/>
      <c r="E599" s="8"/>
      <c r="F599" s="129"/>
      <c r="G599" s="8"/>
      <c r="L599" s="128"/>
      <c r="Q599" s="128"/>
    </row>
    <row r="600">
      <c r="B600" s="8"/>
      <c r="C600" s="8"/>
      <c r="D600" s="8"/>
      <c r="E600" s="8"/>
      <c r="F600" s="129"/>
      <c r="G600" s="8"/>
      <c r="L600" s="128"/>
      <c r="Q600" s="128"/>
    </row>
    <row r="601">
      <c r="B601" s="8"/>
      <c r="C601" s="8"/>
      <c r="D601" s="8"/>
      <c r="E601" s="8"/>
      <c r="F601" s="129"/>
      <c r="G601" s="8"/>
      <c r="L601" s="128"/>
      <c r="Q601" s="128"/>
    </row>
    <row r="602">
      <c r="B602" s="8"/>
      <c r="C602" s="8"/>
      <c r="D602" s="8"/>
      <c r="E602" s="8"/>
      <c r="F602" s="129"/>
      <c r="G602" s="8"/>
      <c r="L602" s="128"/>
      <c r="Q602" s="128"/>
    </row>
    <row r="603">
      <c r="B603" s="8"/>
      <c r="C603" s="8"/>
      <c r="D603" s="8"/>
      <c r="E603" s="8"/>
      <c r="F603" s="129"/>
      <c r="G603" s="8"/>
      <c r="L603" s="128"/>
      <c r="Q603" s="128"/>
    </row>
    <row r="604">
      <c r="B604" s="8"/>
      <c r="C604" s="8"/>
      <c r="D604" s="8"/>
      <c r="E604" s="8"/>
      <c r="F604" s="129"/>
      <c r="G604" s="8"/>
      <c r="L604" s="128"/>
      <c r="Q604" s="128"/>
    </row>
    <row r="605">
      <c r="B605" s="8"/>
      <c r="C605" s="8"/>
      <c r="D605" s="8"/>
      <c r="E605" s="8"/>
      <c r="F605" s="129"/>
      <c r="G605" s="8"/>
      <c r="L605" s="128"/>
      <c r="Q605" s="128"/>
    </row>
    <row r="606">
      <c r="B606" s="8"/>
      <c r="C606" s="8"/>
      <c r="D606" s="8"/>
      <c r="E606" s="8"/>
      <c r="F606" s="129"/>
      <c r="G606" s="8"/>
      <c r="L606" s="128"/>
      <c r="Q606" s="128"/>
    </row>
    <row r="607">
      <c r="B607" s="8"/>
      <c r="C607" s="8"/>
      <c r="D607" s="8"/>
      <c r="E607" s="8"/>
      <c r="F607" s="129"/>
      <c r="G607" s="8"/>
      <c r="L607" s="128"/>
      <c r="Q607" s="128"/>
    </row>
    <row r="608">
      <c r="B608" s="8"/>
      <c r="C608" s="8"/>
      <c r="D608" s="8"/>
      <c r="E608" s="8"/>
      <c r="F608" s="129"/>
      <c r="G608" s="8"/>
      <c r="L608" s="128"/>
      <c r="Q608" s="128"/>
    </row>
    <row r="609">
      <c r="B609" s="8"/>
      <c r="C609" s="8"/>
      <c r="D609" s="8"/>
      <c r="E609" s="8"/>
      <c r="F609" s="129"/>
      <c r="G609" s="8"/>
      <c r="L609" s="128"/>
      <c r="Q609" s="128"/>
    </row>
    <row r="610">
      <c r="B610" s="8"/>
      <c r="C610" s="8"/>
      <c r="D610" s="8"/>
      <c r="E610" s="8"/>
      <c r="F610" s="129"/>
      <c r="G610" s="8"/>
      <c r="L610" s="128"/>
      <c r="Q610" s="128"/>
    </row>
    <row r="611">
      <c r="B611" s="8"/>
      <c r="C611" s="8"/>
      <c r="D611" s="8"/>
      <c r="E611" s="8"/>
      <c r="F611" s="129"/>
      <c r="G611" s="8"/>
      <c r="L611" s="128"/>
      <c r="Q611" s="128"/>
    </row>
    <row r="612">
      <c r="B612" s="8"/>
      <c r="C612" s="8"/>
      <c r="D612" s="8"/>
      <c r="E612" s="8"/>
      <c r="F612" s="129"/>
      <c r="G612" s="8"/>
      <c r="L612" s="128"/>
      <c r="Q612" s="128"/>
    </row>
    <row r="613">
      <c r="B613" s="8"/>
      <c r="C613" s="8"/>
      <c r="D613" s="8"/>
      <c r="E613" s="8"/>
      <c r="F613" s="129"/>
      <c r="G613" s="8"/>
      <c r="L613" s="128"/>
      <c r="Q613" s="128"/>
    </row>
    <row r="614">
      <c r="B614" s="8"/>
      <c r="C614" s="8"/>
      <c r="D614" s="8"/>
      <c r="E614" s="8"/>
      <c r="F614" s="129"/>
      <c r="G614" s="8"/>
      <c r="L614" s="128"/>
      <c r="Q614" s="128"/>
    </row>
    <row r="615">
      <c r="B615" s="8"/>
      <c r="C615" s="8"/>
      <c r="D615" s="8"/>
      <c r="E615" s="8"/>
      <c r="F615" s="129"/>
      <c r="G615" s="8"/>
      <c r="L615" s="128"/>
      <c r="Q615" s="128"/>
    </row>
    <row r="616">
      <c r="B616" s="8"/>
      <c r="C616" s="8"/>
      <c r="D616" s="8"/>
      <c r="E616" s="8"/>
      <c r="F616" s="129"/>
      <c r="G616" s="8"/>
      <c r="L616" s="128"/>
      <c r="Q616" s="128"/>
    </row>
    <row r="617">
      <c r="B617" s="8"/>
      <c r="C617" s="8"/>
      <c r="D617" s="8"/>
      <c r="E617" s="8"/>
      <c r="F617" s="129"/>
      <c r="G617" s="8"/>
      <c r="L617" s="128"/>
      <c r="Q617" s="128"/>
    </row>
    <row r="618">
      <c r="B618" s="8"/>
      <c r="C618" s="8"/>
      <c r="D618" s="8"/>
      <c r="E618" s="8"/>
      <c r="F618" s="129"/>
      <c r="G618" s="8"/>
      <c r="L618" s="128"/>
      <c r="Q618" s="128"/>
    </row>
    <row r="619">
      <c r="B619" s="8"/>
      <c r="C619" s="8"/>
      <c r="D619" s="8"/>
      <c r="E619" s="8"/>
      <c r="F619" s="129"/>
      <c r="G619" s="8"/>
      <c r="L619" s="128"/>
      <c r="Q619" s="128"/>
    </row>
    <row r="620">
      <c r="B620" s="8"/>
      <c r="C620" s="8"/>
      <c r="D620" s="8"/>
      <c r="E620" s="8"/>
      <c r="F620" s="129"/>
      <c r="G620" s="8"/>
      <c r="L620" s="128"/>
      <c r="Q620" s="128"/>
    </row>
    <row r="621">
      <c r="B621" s="8"/>
      <c r="C621" s="8"/>
      <c r="D621" s="8"/>
      <c r="E621" s="8"/>
      <c r="F621" s="129"/>
      <c r="G621" s="8"/>
      <c r="L621" s="128"/>
      <c r="Q621" s="128"/>
    </row>
    <row r="622">
      <c r="B622" s="8"/>
      <c r="C622" s="8"/>
      <c r="D622" s="8"/>
      <c r="E622" s="8"/>
      <c r="F622" s="129"/>
      <c r="G622" s="8"/>
      <c r="L622" s="128"/>
      <c r="Q622" s="128"/>
    </row>
    <row r="623">
      <c r="B623" s="8"/>
      <c r="C623" s="8"/>
      <c r="D623" s="8"/>
      <c r="E623" s="8"/>
      <c r="F623" s="129"/>
      <c r="G623" s="8"/>
      <c r="L623" s="128"/>
      <c r="Q623" s="128"/>
    </row>
    <row r="624">
      <c r="B624" s="8"/>
      <c r="C624" s="8"/>
      <c r="D624" s="8"/>
      <c r="E624" s="8"/>
      <c r="F624" s="129"/>
      <c r="G624" s="8"/>
      <c r="L624" s="128"/>
      <c r="Q624" s="128"/>
    </row>
    <row r="625">
      <c r="B625" s="8"/>
      <c r="C625" s="8"/>
      <c r="D625" s="8"/>
      <c r="E625" s="8"/>
      <c r="F625" s="129"/>
      <c r="G625" s="8"/>
      <c r="L625" s="128"/>
      <c r="Q625" s="128"/>
    </row>
    <row r="626">
      <c r="B626" s="8"/>
      <c r="C626" s="8"/>
      <c r="D626" s="8"/>
      <c r="E626" s="8"/>
      <c r="F626" s="129"/>
      <c r="G626" s="8"/>
      <c r="L626" s="128"/>
      <c r="Q626" s="128"/>
    </row>
    <row r="627">
      <c r="B627" s="8"/>
      <c r="C627" s="8"/>
      <c r="D627" s="8"/>
      <c r="E627" s="8"/>
      <c r="F627" s="129"/>
      <c r="G627" s="8"/>
      <c r="L627" s="128"/>
      <c r="Q627" s="128"/>
    </row>
    <row r="628">
      <c r="B628" s="8"/>
      <c r="C628" s="8"/>
      <c r="D628" s="8"/>
      <c r="E628" s="8"/>
      <c r="F628" s="129"/>
      <c r="G628" s="8"/>
      <c r="L628" s="128"/>
      <c r="Q628" s="128"/>
    </row>
    <row r="629">
      <c r="B629" s="8"/>
      <c r="C629" s="8"/>
      <c r="D629" s="8"/>
      <c r="E629" s="8"/>
      <c r="F629" s="129"/>
      <c r="G629" s="8"/>
      <c r="L629" s="128"/>
      <c r="Q629" s="128"/>
    </row>
    <row r="630">
      <c r="B630" s="8"/>
      <c r="C630" s="8"/>
      <c r="D630" s="8"/>
      <c r="E630" s="8"/>
      <c r="F630" s="129"/>
      <c r="G630" s="8"/>
      <c r="L630" s="128"/>
      <c r="Q630" s="128"/>
    </row>
    <row r="631">
      <c r="B631" s="8"/>
      <c r="C631" s="8"/>
      <c r="D631" s="8"/>
      <c r="E631" s="8"/>
      <c r="F631" s="129"/>
      <c r="G631" s="8"/>
      <c r="L631" s="128"/>
      <c r="Q631" s="128"/>
    </row>
    <row r="632">
      <c r="B632" s="8"/>
      <c r="C632" s="8"/>
      <c r="D632" s="8"/>
      <c r="E632" s="8"/>
      <c r="F632" s="129"/>
      <c r="G632" s="8"/>
      <c r="L632" s="128"/>
      <c r="Q632" s="128"/>
    </row>
    <row r="633">
      <c r="B633" s="8"/>
      <c r="C633" s="8"/>
      <c r="D633" s="8"/>
      <c r="E633" s="8"/>
      <c r="F633" s="129"/>
      <c r="G633" s="8"/>
      <c r="L633" s="128"/>
      <c r="Q633" s="128"/>
    </row>
    <row r="634">
      <c r="B634" s="8"/>
      <c r="C634" s="8"/>
      <c r="D634" s="8"/>
      <c r="E634" s="8"/>
      <c r="F634" s="129"/>
      <c r="G634" s="8"/>
      <c r="L634" s="128"/>
      <c r="Q634" s="128"/>
    </row>
    <row r="635">
      <c r="B635" s="8"/>
      <c r="C635" s="8"/>
      <c r="D635" s="8"/>
      <c r="E635" s="8"/>
      <c r="F635" s="129"/>
      <c r="G635" s="8"/>
      <c r="L635" s="128"/>
      <c r="Q635" s="128"/>
    </row>
    <row r="636">
      <c r="B636" s="8"/>
      <c r="C636" s="8"/>
      <c r="D636" s="8"/>
      <c r="E636" s="8"/>
      <c r="F636" s="129"/>
      <c r="G636" s="8"/>
      <c r="L636" s="128"/>
      <c r="Q636" s="128"/>
    </row>
    <row r="637">
      <c r="B637" s="8"/>
      <c r="C637" s="8"/>
      <c r="D637" s="8"/>
      <c r="E637" s="8"/>
      <c r="F637" s="129"/>
      <c r="G637" s="8"/>
      <c r="L637" s="128"/>
      <c r="Q637" s="128"/>
    </row>
    <row r="638">
      <c r="B638" s="8"/>
      <c r="C638" s="8"/>
      <c r="D638" s="8"/>
      <c r="E638" s="8"/>
      <c r="F638" s="129"/>
      <c r="G638" s="8"/>
      <c r="L638" s="128"/>
      <c r="Q638" s="128"/>
    </row>
    <row r="639">
      <c r="B639" s="8"/>
      <c r="C639" s="8"/>
      <c r="D639" s="8"/>
      <c r="E639" s="8"/>
      <c r="F639" s="129"/>
      <c r="G639" s="8"/>
      <c r="L639" s="128"/>
      <c r="Q639" s="128"/>
    </row>
    <row r="640">
      <c r="B640" s="8"/>
      <c r="C640" s="8"/>
      <c r="D640" s="8"/>
      <c r="E640" s="8"/>
      <c r="F640" s="129"/>
      <c r="G640" s="8"/>
      <c r="L640" s="128"/>
      <c r="Q640" s="128"/>
    </row>
    <row r="641">
      <c r="B641" s="8"/>
      <c r="C641" s="8"/>
      <c r="D641" s="8"/>
      <c r="E641" s="8"/>
      <c r="F641" s="129"/>
      <c r="G641" s="8"/>
      <c r="L641" s="128"/>
      <c r="Q641" s="128"/>
    </row>
    <row r="642">
      <c r="B642" s="8"/>
      <c r="C642" s="8"/>
      <c r="D642" s="8"/>
      <c r="E642" s="8"/>
      <c r="F642" s="129"/>
      <c r="G642" s="8"/>
      <c r="L642" s="128"/>
      <c r="Q642" s="128"/>
    </row>
    <row r="643">
      <c r="B643" s="8"/>
      <c r="C643" s="8"/>
      <c r="D643" s="8"/>
      <c r="E643" s="8"/>
      <c r="F643" s="129"/>
      <c r="G643" s="8"/>
      <c r="L643" s="128"/>
      <c r="Q643" s="128"/>
    </row>
    <row r="644">
      <c r="B644" s="8"/>
      <c r="C644" s="8"/>
      <c r="D644" s="8"/>
      <c r="E644" s="8"/>
      <c r="F644" s="129"/>
      <c r="G644" s="8"/>
      <c r="L644" s="128"/>
      <c r="Q644" s="128"/>
    </row>
    <row r="645">
      <c r="B645" s="8"/>
      <c r="C645" s="8"/>
      <c r="D645" s="8"/>
      <c r="E645" s="8"/>
      <c r="F645" s="129"/>
      <c r="G645" s="8"/>
      <c r="L645" s="128"/>
      <c r="Q645" s="128"/>
    </row>
    <row r="646">
      <c r="B646" s="8"/>
      <c r="C646" s="8"/>
      <c r="D646" s="8"/>
      <c r="E646" s="8"/>
      <c r="F646" s="129"/>
      <c r="G646" s="8"/>
      <c r="L646" s="128"/>
      <c r="Q646" s="128"/>
    </row>
    <row r="647">
      <c r="B647" s="8"/>
      <c r="C647" s="8"/>
      <c r="D647" s="8"/>
      <c r="E647" s="8"/>
      <c r="F647" s="129"/>
      <c r="G647" s="8"/>
      <c r="L647" s="128"/>
      <c r="Q647" s="128"/>
    </row>
    <row r="648">
      <c r="B648" s="8"/>
      <c r="C648" s="8"/>
      <c r="D648" s="8"/>
      <c r="E648" s="8"/>
      <c r="F648" s="129"/>
      <c r="G648" s="8"/>
      <c r="L648" s="128"/>
      <c r="Q648" s="128"/>
    </row>
    <row r="649">
      <c r="B649" s="8"/>
      <c r="C649" s="8"/>
      <c r="D649" s="8"/>
      <c r="E649" s="8"/>
      <c r="F649" s="129"/>
      <c r="G649" s="8"/>
      <c r="L649" s="128"/>
      <c r="Q649" s="128"/>
    </row>
    <row r="650">
      <c r="B650" s="8"/>
      <c r="C650" s="8"/>
      <c r="D650" s="8"/>
      <c r="E650" s="8"/>
      <c r="F650" s="129"/>
      <c r="G650" s="8"/>
      <c r="L650" s="128"/>
      <c r="Q650" s="128"/>
    </row>
    <row r="651">
      <c r="B651" s="8"/>
      <c r="C651" s="8"/>
      <c r="D651" s="8"/>
      <c r="E651" s="8"/>
      <c r="F651" s="129"/>
      <c r="G651" s="8"/>
      <c r="L651" s="128"/>
      <c r="Q651" s="128"/>
    </row>
    <row r="652">
      <c r="B652" s="8"/>
      <c r="C652" s="8"/>
      <c r="D652" s="8"/>
      <c r="E652" s="8"/>
      <c r="F652" s="129"/>
      <c r="G652" s="8"/>
      <c r="L652" s="128"/>
      <c r="Q652" s="128"/>
    </row>
    <row r="653">
      <c r="B653" s="8"/>
      <c r="C653" s="8"/>
      <c r="D653" s="8"/>
      <c r="E653" s="8"/>
      <c r="F653" s="129"/>
      <c r="G653" s="8"/>
      <c r="L653" s="128"/>
      <c r="Q653" s="128"/>
    </row>
    <row r="654">
      <c r="B654" s="8"/>
      <c r="C654" s="8"/>
      <c r="D654" s="8"/>
      <c r="E654" s="8"/>
      <c r="F654" s="129"/>
      <c r="G654" s="8"/>
      <c r="L654" s="128"/>
      <c r="Q654" s="128"/>
    </row>
    <row r="655">
      <c r="B655" s="8"/>
      <c r="C655" s="8"/>
      <c r="D655" s="8"/>
      <c r="E655" s="8"/>
      <c r="F655" s="129"/>
      <c r="G655" s="8"/>
      <c r="L655" s="128"/>
      <c r="Q655" s="128"/>
    </row>
    <row r="656">
      <c r="B656" s="8"/>
      <c r="C656" s="8"/>
      <c r="D656" s="8"/>
      <c r="E656" s="8"/>
      <c r="F656" s="129"/>
      <c r="G656" s="8"/>
      <c r="L656" s="128"/>
      <c r="Q656" s="128"/>
    </row>
    <row r="657">
      <c r="B657" s="8"/>
      <c r="C657" s="8"/>
      <c r="D657" s="8"/>
      <c r="E657" s="8"/>
      <c r="F657" s="129"/>
      <c r="G657" s="8"/>
      <c r="L657" s="128"/>
      <c r="Q657" s="128"/>
    </row>
    <row r="658">
      <c r="B658" s="8"/>
      <c r="C658" s="8"/>
      <c r="D658" s="8"/>
      <c r="E658" s="8"/>
      <c r="F658" s="129"/>
      <c r="G658" s="8"/>
      <c r="L658" s="128"/>
      <c r="Q658" s="128"/>
    </row>
    <row r="659">
      <c r="B659" s="8"/>
      <c r="C659" s="8"/>
      <c r="D659" s="8"/>
      <c r="E659" s="8"/>
      <c r="F659" s="129"/>
      <c r="G659" s="8"/>
      <c r="L659" s="128"/>
      <c r="Q659" s="128"/>
    </row>
    <row r="660">
      <c r="B660" s="8"/>
      <c r="C660" s="8"/>
      <c r="D660" s="8"/>
      <c r="E660" s="8"/>
      <c r="F660" s="129"/>
      <c r="G660" s="8"/>
      <c r="L660" s="128"/>
      <c r="Q660" s="128"/>
    </row>
    <row r="661">
      <c r="B661" s="8"/>
      <c r="C661" s="8"/>
      <c r="D661" s="8"/>
      <c r="E661" s="8"/>
      <c r="F661" s="129"/>
      <c r="G661" s="8"/>
      <c r="L661" s="128"/>
      <c r="Q661" s="128"/>
    </row>
    <row r="662">
      <c r="B662" s="8"/>
      <c r="C662" s="8"/>
      <c r="D662" s="8"/>
      <c r="E662" s="8"/>
      <c r="F662" s="129"/>
      <c r="G662" s="8"/>
      <c r="L662" s="128"/>
      <c r="Q662" s="128"/>
    </row>
    <row r="663">
      <c r="B663" s="8"/>
      <c r="C663" s="8"/>
      <c r="D663" s="8"/>
      <c r="E663" s="8"/>
      <c r="F663" s="129"/>
      <c r="G663" s="8"/>
      <c r="L663" s="128"/>
      <c r="Q663" s="128"/>
    </row>
    <row r="664">
      <c r="B664" s="8"/>
      <c r="C664" s="8"/>
      <c r="D664" s="8"/>
      <c r="E664" s="8"/>
      <c r="F664" s="129"/>
      <c r="G664" s="8"/>
      <c r="L664" s="128"/>
      <c r="Q664" s="128"/>
    </row>
    <row r="665">
      <c r="B665" s="8"/>
      <c r="C665" s="8"/>
      <c r="D665" s="8"/>
      <c r="E665" s="8"/>
      <c r="F665" s="129"/>
      <c r="G665" s="8"/>
      <c r="L665" s="128"/>
      <c r="Q665" s="128"/>
    </row>
    <row r="666">
      <c r="B666" s="8"/>
      <c r="C666" s="8"/>
      <c r="D666" s="8"/>
      <c r="E666" s="8"/>
      <c r="F666" s="129"/>
      <c r="G666" s="8"/>
      <c r="L666" s="128"/>
      <c r="Q666" s="128"/>
    </row>
    <row r="667">
      <c r="B667" s="8"/>
      <c r="C667" s="8"/>
      <c r="D667" s="8"/>
      <c r="E667" s="8"/>
      <c r="F667" s="129"/>
      <c r="G667" s="8"/>
      <c r="L667" s="128"/>
      <c r="Q667" s="128"/>
    </row>
    <row r="668">
      <c r="B668" s="8"/>
      <c r="C668" s="8"/>
      <c r="D668" s="8"/>
      <c r="E668" s="8"/>
      <c r="F668" s="129"/>
      <c r="G668" s="8"/>
      <c r="L668" s="128"/>
      <c r="Q668" s="128"/>
    </row>
    <row r="669">
      <c r="B669" s="8"/>
      <c r="C669" s="8"/>
      <c r="D669" s="8"/>
      <c r="E669" s="8"/>
      <c r="F669" s="129"/>
      <c r="G669" s="8"/>
      <c r="L669" s="128"/>
      <c r="Q669" s="128"/>
    </row>
    <row r="670">
      <c r="B670" s="8"/>
      <c r="C670" s="8"/>
      <c r="D670" s="8"/>
      <c r="E670" s="8"/>
      <c r="F670" s="129"/>
      <c r="G670" s="8"/>
      <c r="L670" s="128"/>
      <c r="Q670" s="128"/>
    </row>
    <row r="671">
      <c r="B671" s="8"/>
      <c r="C671" s="8"/>
      <c r="D671" s="8"/>
      <c r="E671" s="8"/>
      <c r="F671" s="129"/>
      <c r="G671" s="8"/>
      <c r="L671" s="128"/>
      <c r="Q671" s="128"/>
    </row>
    <row r="672">
      <c r="B672" s="8"/>
      <c r="C672" s="8"/>
      <c r="D672" s="8"/>
      <c r="E672" s="8"/>
      <c r="F672" s="129"/>
      <c r="G672" s="8"/>
      <c r="L672" s="128"/>
      <c r="Q672" s="128"/>
    </row>
    <row r="673">
      <c r="B673" s="8"/>
      <c r="C673" s="8"/>
      <c r="D673" s="8"/>
      <c r="E673" s="8"/>
      <c r="F673" s="129"/>
      <c r="G673" s="8"/>
      <c r="L673" s="128"/>
      <c r="Q673" s="128"/>
    </row>
    <row r="674">
      <c r="B674" s="8"/>
      <c r="C674" s="8"/>
      <c r="D674" s="8"/>
      <c r="E674" s="8"/>
      <c r="F674" s="129"/>
      <c r="G674" s="8"/>
      <c r="L674" s="128"/>
      <c r="Q674" s="128"/>
    </row>
    <row r="675">
      <c r="B675" s="8"/>
      <c r="C675" s="8"/>
      <c r="D675" s="8"/>
      <c r="E675" s="8"/>
      <c r="F675" s="129"/>
      <c r="G675" s="8"/>
      <c r="L675" s="128"/>
      <c r="Q675" s="128"/>
    </row>
    <row r="676">
      <c r="B676" s="8"/>
      <c r="C676" s="8"/>
      <c r="D676" s="8"/>
      <c r="E676" s="8"/>
      <c r="F676" s="129"/>
      <c r="G676" s="8"/>
      <c r="L676" s="128"/>
      <c r="Q676" s="128"/>
    </row>
    <row r="677">
      <c r="B677" s="8"/>
      <c r="C677" s="8"/>
      <c r="D677" s="8"/>
      <c r="E677" s="8"/>
      <c r="F677" s="129"/>
      <c r="G677" s="8"/>
      <c r="L677" s="128"/>
      <c r="Q677" s="128"/>
    </row>
    <row r="678">
      <c r="B678" s="8"/>
      <c r="C678" s="8"/>
      <c r="D678" s="8"/>
      <c r="E678" s="8"/>
      <c r="F678" s="129"/>
      <c r="G678" s="8"/>
      <c r="L678" s="128"/>
      <c r="Q678" s="128"/>
    </row>
    <row r="679">
      <c r="B679" s="8"/>
      <c r="C679" s="8"/>
      <c r="D679" s="8"/>
      <c r="E679" s="8"/>
      <c r="F679" s="129"/>
      <c r="G679" s="8"/>
      <c r="L679" s="128"/>
      <c r="Q679" s="128"/>
    </row>
    <row r="680">
      <c r="B680" s="8"/>
      <c r="C680" s="8"/>
      <c r="D680" s="8"/>
      <c r="E680" s="8"/>
      <c r="F680" s="129"/>
      <c r="G680" s="8"/>
      <c r="L680" s="128"/>
      <c r="Q680" s="128"/>
    </row>
    <row r="681">
      <c r="B681" s="8"/>
      <c r="C681" s="8"/>
      <c r="D681" s="8"/>
      <c r="E681" s="8"/>
      <c r="F681" s="129"/>
      <c r="G681" s="8"/>
      <c r="L681" s="128"/>
      <c r="Q681" s="128"/>
    </row>
    <row r="682">
      <c r="B682" s="8"/>
      <c r="C682" s="8"/>
      <c r="D682" s="8"/>
      <c r="E682" s="8"/>
      <c r="F682" s="129"/>
      <c r="G682" s="8"/>
      <c r="L682" s="128"/>
      <c r="Q682" s="128"/>
    </row>
    <row r="683">
      <c r="B683" s="8"/>
      <c r="C683" s="8"/>
      <c r="D683" s="8"/>
      <c r="E683" s="8"/>
      <c r="F683" s="129"/>
      <c r="G683" s="8"/>
      <c r="L683" s="128"/>
      <c r="Q683" s="128"/>
    </row>
    <row r="684">
      <c r="B684" s="8"/>
      <c r="C684" s="8"/>
      <c r="D684" s="8"/>
      <c r="E684" s="8"/>
      <c r="F684" s="129"/>
      <c r="G684" s="8"/>
      <c r="L684" s="128"/>
      <c r="Q684" s="128"/>
    </row>
    <row r="685">
      <c r="B685" s="8"/>
      <c r="C685" s="8"/>
      <c r="D685" s="8"/>
      <c r="E685" s="8"/>
      <c r="F685" s="129"/>
      <c r="G685" s="8"/>
      <c r="L685" s="128"/>
      <c r="Q685" s="128"/>
    </row>
    <row r="686">
      <c r="B686" s="8"/>
      <c r="C686" s="8"/>
      <c r="D686" s="8"/>
      <c r="E686" s="8"/>
      <c r="F686" s="129"/>
      <c r="G686" s="8"/>
      <c r="L686" s="128"/>
      <c r="Q686" s="128"/>
    </row>
    <row r="687">
      <c r="B687" s="8"/>
      <c r="C687" s="8"/>
      <c r="D687" s="8"/>
      <c r="E687" s="8"/>
      <c r="F687" s="129"/>
      <c r="G687" s="8"/>
      <c r="L687" s="128"/>
      <c r="Q687" s="128"/>
    </row>
    <row r="688">
      <c r="B688" s="8"/>
      <c r="C688" s="8"/>
      <c r="D688" s="8"/>
      <c r="E688" s="8"/>
      <c r="F688" s="129"/>
      <c r="G688" s="8"/>
      <c r="L688" s="128"/>
      <c r="Q688" s="128"/>
    </row>
    <row r="689">
      <c r="B689" s="8"/>
      <c r="C689" s="8"/>
      <c r="D689" s="8"/>
      <c r="E689" s="8"/>
      <c r="F689" s="129"/>
      <c r="G689" s="8"/>
      <c r="L689" s="128"/>
      <c r="Q689" s="128"/>
    </row>
    <row r="690">
      <c r="B690" s="8"/>
      <c r="C690" s="8"/>
      <c r="D690" s="8"/>
      <c r="E690" s="8"/>
      <c r="F690" s="129"/>
      <c r="G690" s="8"/>
      <c r="L690" s="128"/>
      <c r="Q690" s="128"/>
    </row>
    <row r="691">
      <c r="B691" s="8"/>
      <c r="C691" s="8"/>
      <c r="D691" s="8"/>
      <c r="E691" s="8"/>
      <c r="F691" s="129"/>
      <c r="G691" s="8"/>
      <c r="L691" s="128"/>
      <c r="Q691" s="128"/>
    </row>
    <row r="692">
      <c r="B692" s="8"/>
      <c r="C692" s="8"/>
      <c r="D692" s="8"/>
      <c r="E692" s="8"/>
      <c r="F692" s="129"/>
      <c r="G692" s="8"/>
      <c r="L692" s="128"/>
      <c r="Q692" s="128"/>
    </row>
    <row r="693">
      <c r="B693" s="8"/>
      <c r="C693" s="8"/>
      <c r="D693" s="8"/>
      <c r="E693" s="8"/>
      <c r="F693" s="129"/>
      <c r="G693" s="8"/>
      <c r="L693" s="128"/>
      <c r="Q693" s="128"/>
    </row>
    <row r="694">
      <c r="B694" s="8"/>
      <c r="C694" s="8"/>
      <c r="D694" s="8"/>
      <c r="E694" s="8"/>
      <c r="F694" s="129"/>
      <c r="G694" s="8"/>
      <c r="L694" s="128"/>
      <c r="Q694" s="128"/>
    </row>
    <row r="695">
      <c r="B695" s="8"/>
      <c r="C695" s="8"/>
      <c r="D695" s="8"/>
      <c r="E695" s="8"/>
      <c r="F695" s="129"/>
      <c r="G695" s="8"/>
      <c r="L695" s="128"/>
      <c r="Q695" s="128"/>
    </row>
    <row r="696">
      <c r="B696" s="8"/>
      <c r="C696" s="8"/>
      <c r="D696" s="8"/>
      <c r="E696" s="8"/>
      <c r="F696" s="129"/>
      <c r="G696" s="8"/>
      <c r="L696" s="128"/>
      <c r="Q696" s="128"/>
    </row>
    <row r="697">
      <c r="B697" s="8"/>
      <c r="C697" s="8"/>
      <c r="D697" s="8"/>
      <c r="E697" s="8"/>
      <c r="F697" s="129"/>
      <c r="G697" s="8"/>
      <c r="L697" s="128"/>
      <c r="Q697" s="128"/>
    </row>
    <row r="698">
      <c r="B698" s="8"/>
      <c r="C698" s="8"/>
      <c r="D698" s="8"/>
      <c r="E698" s="8"/>
      <c r="F698" s="129"/>
      <c r="G698" s="8"/>
      <c r="L698" s="128"/>
      <c r="Q698" s="128"/>
    </row>
    <row r="699">
      <c r="B699" s="8"/>
      <c r="C699" s="8"/>
      <c r="D699" s="8"/>
      <c r="E699" s="8"/>
      <c r="F699" s="129"/>
      <c r="G699" s="8"/>
      <c r="L699" s="128"/>
      <c r="Q699" s="128"/>
    </row>
    <row r="700">
      <c r="B700" s="8"/>
      <c r="C700" s="8"/>
      <c r="D700" s="8"/>
      <c r="E700" s="8"/>
      <c r="F700" s="129"/>
      <c r="G700" s="8"/>
      <c r="L700" s="128"/>
      <c r="Q700" s="128"/>
    </row>
    <row r="701">
      <c r="B701" s="8"/>
      <c r="C701" s="8"/>
      <c r="D701" s="8"/>
      <c r="E701" s="8"/>
      <c r="F701" s="129"/>
      <c r="G701" s="8"/>
      <c r="L701" s="128"/>
      <c r="Q701" s="128"/>
    </row>
    <row r="702">
      <c r="B702" s="8"/>
      <c r="C702" s="8"/>
      <c r="D702" s="8"/>
      <c r="E702" s="8"/>
      <c r="F702" s="129"/>
      <c r="G702" s="8"/>
      <c r="L702" s="128"/>
      <c r="Q702" s="128"/>
    </row>
    <row r="703">
      <c r="B703" s="8"/>
      <c r="C703" s="8"/>
      <c r="D703" s="8"/>
      <c r="E703" s="8"/>
      <c r="F703" s="129"/>
      <c r="G703" s="8"/>
      <c r="L703" s="128"/>
      <c r="Q703" s="128"/>
    </row>
    <row r="704">
      <c r="B704" s="8"/>
      <c r="C704" s="8"/>
      <c r="D704" s="8"/>
      <c r="E704" s="8"/>
      <c r="F704" s="129"/>
      <c r="G704" s="8"/>
      <c r="L704" s="128"/>
      <c r="Q704" s="128"/>
    </row>
    <row r="705">
      <c r="B705" s="8"/>
      <c r="C705" s="8"/>
      <c r="D705" s="8"/>
      <c r="E705" s="8"/>
      <c r="F705" s="129"/>
      <c r="G705" s="8"/>
      <c r="L705" s="128"/>
      <c r="Q705" s="128"/>
    </row>
    <row r="706">
      <c r="B706" s="8"/>
      <c r="C706" s="8"/>
      <c r="D706" s="8"/>
      <c r="E706" s="8"/>
      <c r="F706" s="129"/>
      <c r="G706" s="8"/>
      <c r="L706" s="128"/>
      <c r="Q706" s="128"/>
    </row>
    <row r="707">
      <c r="B707" s="8"/>
      <c r="C707" s="8"/>
      <c r="D707" s="8"/>
      <c r="E707" s="8"/>
      <c r="F707" s="129"/>
      <c r="G707" s="8"/>
      <c r="L707" s="128"/>
      <c r="Q707" s="128"/>
    </row>
    <row r="708">
      <c r="B708" s="8"/>
      <c r="C708" s="8"/>
      <c r="D708" s="8"/>
      <c r="E708" s="8"/>
      <c r="F708" s="129"/>
      <c r="G708" s="8"/>
      <c r="L708" s="128"/>
      <c r="Q708" s="128"/>
    </row>
    <row r="709">
      <c r="B709" s="8"/>
      <c r="C709" s="8"/>
      <c r="D709" s="8"/>
      <c r="E709" s="8"/>
      <c r="F709" s="129"/>
      <c r="G709" s="8"/>
      <c r="L709" s="128"/>
      <c r="Q709" s="128"/>
    </row>
    <row r="710">
      <c r="B710" s="8"/>
      <c r="C710" s="8"/>
      <c r="D710" s="8"/>
      <c r="E710" s="8"/>
      <c r="F710" s="129"/>
      <c r="G710" s="8"/>
      <c r="L710" s="128"/>
      <c r="Q710" s="128"/>
    </row>
    <row r="711">
      <c r="B711" s="8"/>
      <c r="C711" s="8"/>
      <c r="D711" s="8"/>
      <c r="E711" s="8"/>
      <c r="F711" s="129"/>
      <c r="G711" s="8"/>
      <c r="L711" s="128"/>
      <c r="Q711" s="128"/>
    </row>
    <row r="712">
      <c r="B712" s="8"/>
      <c r="C712" s="8"/>
      <c r="D712" s="8"/>
      <c r="E712" s="8"/>
      <c r="F712" s="129"/>
      <c r="G712" s="8"/>
      <c r="L712" s="128"/>
      <c r="Q712" s="128"/>
    </row>
    <row r="713">
      <c r="B713" s="8"/>
      <c r="C713" s="8"/>
      <c r="D713" s="8"/>
      <c r="E713" s="8"/>
      <c r="F713" s="129"/>
      <c r="G713" s="8"/>
      <c r="L713" s="128"/>
      <c r="Q713" s="128"/>
    </row>
    <row r="714">
      <c r="B714" s="8"/>
      <c r="C714" s="8"/>
      <c r="D714" s="8"/>
      <c r="E714" s="8"/>
      <c r="F714" s="129"/>
      <c r="G714" s="8"/>
      <c r="L714" s="128"/>
      <c r="Q714" s="128"/>
    </row>
    <row r="715">
      <c r="B715" s="8"/>
      <c r="C715" s="8"/>
      <c r="D715" s="8"/>
      <c r="E715" s="8"/>
      <c r="F715" s="129"/>
      <c r="G715" s="8"/>
      <c r="L715" s="128"/>
      <c r="Q715" s="128"/>
    </row>
    <row r="716">
      <c r="B716" s="8"/>
      <c r="C716" s="8"/>
      <c r="D716" s="8"/>
      <c r="E716" s="8"/>
      <c r="F716" s="129"/>
      <c r="G716" s="8"/>
      <c r="L716" s="128"/>
      <c r="Q716" s="128"/>
    </row>
    <row r="717">
      <c r="B717" s="8"/>
      <c r="C717" s="8"/>
      <c r="D717" s="8"/>
      <c r="E717" s="8"/>
      <c r="F717" s="129"/>
      <c r="G717" s="8"/>
      <c r="L717" s="128"/>
      <c r="Q717" s="128"/>
    </row>
    <row r="718">
      <c r="B718" s="8"/>
      <c r="C718" s="8"/>
      <c r="D718" s="8"/>
      <c r="E718" s="8"/>
      <c r="F718" s="129"/>
      <c r="G718" s="8"/>
      <c r="L718" s="128"/>
      <c r="Q718" s="128"/>
    </row>
    <row r="719">
      <c r="B719" s="8"/>
      <c r="C719" s="8"/>
      <c r="D719" s="8"/>
      <c r="E719" s="8"/>
      <c r="F719" s="129"/>
      <c r="G719" s="8"/>
      <c r="L719" s="128"/>
      <c r="Q719" s="128"/>
    </row>
    <row r="720">
      <c r="B720" s="8"/>
      <c r="C720" s="8"/>
      <c r="D720" s="8"/>
      <c r="E720" s="8"/>
      <c r="F720" s="129"/>
      <c r="G720" s="8"/>
      <c r="L720" s="128"/>
      <c r="Q720" s="128"/>
    </row>
    <row r="721">
      <c r="B721" s="8"/>
      <c r="C721" s="8"/>
      <c r="D721" s="8"/>
      <c r="E721" s="8"/>
      <c r="F721" s="129"/>
      <c r="G721" s="8"/>
      <c r="L721" s="128"/>
      <c r="Q721" s="128"/>
    </row>
    <row r="722">
      <c r="B722" s="8"/>
      <c r="C722" s="8"/>
      <c r="D722" s="8"/>
      <c r="E722" s="8"/>
      <c r="F722" s="129"/>
      <c r="G722" s="8"/>
      <c r="L722" s="128"/>
      <c r="Q722" s="128"/>
    </row>
    <row r="723">
      <c r="B723" s="8"/>
      <c r="C723" s="8"/>
      <c r="D723" s="8"/>
      <c r="E723" s="8"/>
      <c r="F723" s="129"/>
      <c r="G723" s="8"/>
      <c r="L723" s="128"/>
      <c r="Q723" s="128"/>
    </row>
    <row r="724">
      <c r="B724" s="8"/>
      <c r="C724" s="8"/>
      <c r="D724" s="8"/>
      <c r="E724" s="8"/>
      <c r="F724" s="129"/>
      <c r="G724" s="8"/>
      <c r="L724" s="128"/>
      <c r="Q724" s="128"/>
    </row>
    <row r="725">
      <c r="B725" s="8"/>
      <c r="C725" s="8"/>
      <c r="D725" s="8"/>
      <c r="E725" s="8"/>
      <c r="F725" s="129"/>
      <c r="G725" s="8"/>
      <c r="L725" s="128"/>
      <c r="Q725" s="128"/>
    </row>
    <row r="726">
      <c r="B726" s="8"/>
      <c r="C726" s="8"/>
      <c r="D726" s="8"/>
      <c r="E726" s="8"/>
      <c r="F726" s="129"/>
      <c r="G726" s="8"/>
      <c r="L726" s="128"/>
      <c r="Q726" s="128"/>
    </row>
    <row r="727">
      <c r="B727" s="8"/>
      <c r="C727" s="8"/>
      <c r="D727" s="8"/>
      <c r="E727" s="8"/>
      <c r="F727" s="129"/>
      <c r="G727" s="8"/>
      <c r="L727" s="128"/>
      <c r="Q727" s="128"/>
    </row>
    <row r="728">
      <c r="B728" s="8"/>
      <c r="C728" s="8"/>
      <c r="D728" s="8"/>
      <c r="E728" s="8"/>
      <c r="F728" s="129"/>
      <c r="G728" s="8"/>
      <c r="L728" s="128"/>
      <c r="Q728" s="128"/>
    </row>
    <row r="729">
      <c r="B729" s="8"/>
      <c r="C729" s="8"/>
      <c r="D729" s="8"/>
      <c r="E729" s="8"/>
      <c r="F729" s="129"/>
      <c r="G729" s="8"/>
      <c r="L729" s="128"/>
      <c r="Q729" s="128"/>
    </row>
    <row r="730">
      <c r="B730" s="8"/>
      <c r="C730" s="8"/>
      <c r="D730" s="8"/>
      <c r="E730" s="8"/>
      <c r="F730" s="129"/>
      <c r="G730" s="8"/>
      <c r="L730" s="128"/>
      <c r="Q730" s="128"/>
    </row>
    <row r="731">
      <c r="B731" s="8"/>
      <c r="C731" s="8"/>
      <c r="D731" s="8"/>
      <c r="E731" s="8"/>
      <c r="F731" s="129"/>
      <c r="G731" s="8"/>
      <c r="L731" s="128"/>
      <c r="Q731" s="128"/>
    </row>
    <row r="732">
      <c r="B732" s="8"/>
      <c r="C732" s="8"/>
      <c r="D732" s="8"/>
      <c r="E732" s="8"/>
      <c r="F732" s="129"/>
      <c r="G732" s="8"/>
      <c r="L732" s="128"/>
      <c r="Q732" s="128"/>
    </row>
    <row r="733">
      <c r="B733" s="8"/>
      <c r="C733" s="8"/>
      <c r="D733" s="8"/>
      <c r="E733" s="8"/>
      <c r="F733" s="129"/>
      <c r="G733" s="8"/>
      <c r="L733" s="128"/>
      <c r="Q733" s="128"/>
    </row>
    <row r="734">
      <c r="B734" s="8"/>
      <c r="C734" s="8"/>
      <c r="D734" s="8"/>
      <c r="E734" s="8"/>
      <c r="F734" s="129"/>
      <c r="G734" s="8"/>
      <c r="L734" s="128"/>
      <c r="Q734" s="128"/>
    </row>
    <row r="735">
      <c r="B735" s="8"/>
      <c r="C735" s="8"/>
      <c r="D735" s="8"/>
      <c r="E735" s="8"/>
      <c r="F735" s="129"/>
      <c r="G735" s="8"/>
      <c r="L735" s="128"/>
      <c r="Q735" s="128"/>
    </row>
    <row r="736">
      <c r="B736" s="8"/>
      <c r="C736" s="8"/>
      <c r="D736" s="8"/>
      <c r="E736" s="8"/>
      <c r="F736" s="129"/>
      <c r="G736" s="8"/>
      <c r="L736" s="128"/>
      <c r="Q736" s="128"/>
    </row>
    <row r="737">
      <c r="B737" s="8"/>
      <c r="C737" s="8"/>
      <c r="D737" s="8"/>
      <c r="E737" s="8"/>
      <c r="F737" s="129"/>
      <c r="G737" s="8"/>
      <c r="L737" s="128"/>
      <c r="Q737" s="128"/>
    </row>
    <row r="738">
      <c r="B738" s="8"/>
      <c r="C738" s="8"/>
      <c r="D738" s="8"/>
      <c r="E738" s="8"/>
      <c r="F738" s="129"/>
      <c r="G738" s="8"/>
      <c r="L738" s="128"/>
      <c r="Q738" s="128"/>
    </row>
    <row r="739">
      <c r="B739" s="8"/>
      <c r="C739" s="8"/>
      <c r="D739" s="8"/>
      <c r="E739" s="8"/>
      <c r="F739" s="129"/>
      <c r="G739" s="8"/>
      <c r="L739" s="128"/>
      <c r="Q739" s="128"/>
    </row>
    <row r="740">
      <c r="B740" s="8"/>
      <c r="C740" s="8"/>
      <c r="D740" s="8"/>
      <c r="E740" s="8"/>
      <c r="F740" s="129"/>
      <c r="G740" s="8"/>
      <c r="L740" s="128"/>
      <c r="Q740" s="128"/>
    </row>
    <row r="741">
      <c r="B741" s="8"/>
      <c r="C741" s="8"/>
      <c r="D741" s="8"/>
      <c r="E741" s="8"/>
      <c r="F741" s="129"/>
      <c r="G741" s="8"/>
      <c r="L741" s="128"/>
      <c r="Q741" s="128"/>
    </row>
    <row r="742">
      <c r="B742" s="8"/>
      <c r="C742" s="8"/>
      <c r="D742" s="8"/>
      <c r="E742" s="8"/>
      <c r="F742" s="129"/>
      <c r="G742" s="8"/>
      <c r="L742" s="128"/>
      <c r="Q742" s="128"/>
    </row>
    <row r="743">
      <c r="B743" s="8"/>
      <c r="C743" s="8"/>
      <c r="D743" s="8"/>
      <c r="E743" s="8"/>
      <c r="F743" s="129"/>
      <c r="G743" s="8"/>
      <c r="L743" s="128"/>
      <c r="Q743" s="128"/>
    </row>
    <row r="744">
      <c r="B744" s="8"/>
      <c r="C744" s="8"/>
      <c r="D744" s="8"/>
      <c r="E744" s="8"/>
      <c r="F744" s="129"/>
      <c r="G744" s="8"/>
      <c r="L744" s="128"/>
      <c r="Q744" s="128"/>
    </row>
    <row r="745">
      <c r="B745" s="8"/>
      <c r="C745" s="8"/>
      <c r="D745" s="8"/>
      <c r="E745" s="8"/>
      <c r="F745" s="129"/>
      <c r="G745" s="8"/>
      <c r="L745" s="128"/>
      <c r="Q745" s="128"/>
    </row>
    <row r="746">
      <c r="B746" s="8"/>
      <c r="C746" s="8"/>
      <c r="D746" s="8"/>
      <c r="E746" s="8"/>
      <c r="F746" s="129"/>
      <c r="G746" s="8"/>
      <c r="L746" s="128"/>
      <c r="Q746" s="128"/>
    </row>
    <row r="747">
      <c r="B747" s="8"/>
      <c r="C747" s="8"/>
      <c r="D747" s="8"/>
      <c r="E747" s="8"/>
      <c r="F747" s="129"/>
      <c r="G747" s="8"/>
      <c r="L747" s="128"/>
      <c r="Q747" s="128"/>
    </row>
    <row r="748">
      <c r="B748" s="8"/>
      <c r="C748" s="8"/>
      <c r="D748" s="8"/>
      <c r="E748" s="8"/>
      <c r="F748" s="129"/>
      <c r="G748" s="8"/>
      <c r="L748" s="128"/>
      <c r="Q748" s="128"/>
    </row>
    <row r="749">
      <c r="B749" s="8"/>
      <c r="C749" s="8"/>
      <c r="D749" s="8"/>
      <c r="E749" s="8"/>
      <c r="F749" s="129"/>
      <c r="G749" s="8"/>
      <c r="L749" s="128"/>
      <c r="Q749" s="128"/>
    </row>
    <row r="750">
      <c r="B750" s="8"/>
      <c r="C750" s="8"/>
      <c r="D750" s="8"/>
      <c r="E750" s="8"/>
      <c r="F750" s="129"/>
      <c r="G750" s="8"/>
      <c r="L750" s="128"/>
      <c r="Q750" s="128"/>
    </row>
    <row r="751">
      <c r="B751" s="8"/>
      <c r="C751" s="8"/>
      <c r="D751" s="8"/>
      <c r="E751" s="8"/>
      <c r="F751" s="129"/>
      <c r="G751" s="8"/>
      <c r="L751" s="128"/>
      <c r="Q751" s="128"/>
    </row>
    <row r="752">
      <c r="B752" s="8"/>
      <c r="C752" s="8"/>
      <c r="D752" s="8"/>
      <c r="E752" s="8"/>
      <c r="F752" s="129"/>
      <c r="G752" s="8"/>
      <c r="L752" s="128"/>
      <c r="Q752" s="128"/>
    </row>
    <row r="753">
      <c r="B753" s="8"/>
      <c r="C753" s="8"/>
      <c r="D753" s="8"/>
      <c r="E753" s="8"/>
      <c r="F753" s="129"/>
      <c r="G753" s="8"/>
      <c r="L753" s="128"/>
      <c r="Q753" s="128"/>
    </row>
    <row r="754">
      <c r="B754" s="8"/>
      <c r="C754" s="8"/>
      <c r="D754" s="8"/>
      <c r="E754" s="8"/>
      <c r="F754" s="129"/>
      <c r="G754" s="8"/>
      <c r="L754" s="128"/>
      <c r="Q754" s="128"/>
    </row>
    <row r="755">
      <c r="B755" s="8"/>
      <c r="C755" s="8"/>
      <c r="D755" s="8"/>
      <c r="E755" s="8"/>
      <c r="F755" s="129"/>
      <c r="G755" s="8"/>
      <c r="L755" s="128"/>
      <c r="Q755" s="128"/>
    </row>
    <row r="756">
      <c r="B756" s="8"/>
      <c r="C756" s="8"/>
      <c r="D756" s="8"/>
      <c r="E756" s="8"/>
      <c r="F756" s="129"/>
      <c r="G756" s="8"/>
      <c r="L756" s="128"/>
      <c r="Q756" s="128"/>
    </row>
    <row r="757">
      <c r="B757" s="8"/>
      <c r="C757" s="8"/>
      <c r="D757" s="8"/>
      <c r="E757" s="8"/>
      <c r="F757" s="129"/>
      <c r="G757" s="8"/>
      <c r="L757" s="128"/>
      <c r="Q757" s="128"/>
    </row>
    <row r="758">
      <c r="B758" s="8"/>
      <c r="C758" s="8"/>
      <c r="D758" s="8"/>
      <c r="E758" s="8"/>
      <c r="F758" s="129"/>
      <c r="G758" s="8"/>
      <c r="L758" s="128"/>
      <c r="Q758" s="128"/>
    </row>
    <row r="759">
      <c r="B759" s="8"/>
      <c r="C759" s="8"/>
      <c r="D759" s="8"/>
      <c r="E759" s="8"/>
      <c r="F759" s="129"/>
      <c r="G759" s="8"/>
      <c r="L759" s="128"/>
      <c r="Q759" s="128"/>
    </row>
    <row r="760">
      <c r="B760" s="8"/>
      <c r="C760" s="8"/>
      <c r="D760" s="8"/>
      <c r="E760" s="8"/>
      <c r="F760" s="129"/>
      <c r="G760" s="8"/>
      <c r="L760" s="128"/>
      <c r="Q760" s="128"/>
    </row>
    <row r="761">
      <c r="B761" s="8"/>
      <c r="C761" s="8"/>
      <c r="D761" s="8"/>
      <c r="E761" s="8"/>
      <c r="F761" s="129"/>
      <c r="G761" s="8"/>
      <c r="L761" s="128"/>
      <c r="Q761" s="128"/>
    </row>
    <row r="762">
      <c r="B762" s="8"/>
      <c r="C762" s="8"/>
      <c r="D762" s="8"/>
      <c r="E762" s="8"/>
      <c r="F762" s="129"/>
      <c r="G762" s="8"/>
      <c r="L762" s="128"/>
      <c r="Q762" s="128"/>
    </row>
    <row r="763">
      <c r="B763" s="8"/>
      <c r="C763" s="8"/>
      <c r="D763" s="8"/>
      <c r="E763" s="8"/>
      <c r="F763" s="129"/>
      <c r="G763" s="8"/>
      <c r="L763" s="128"/>
      <c r="Q763" s="128"/>
    </row>
    <row r="764">
      <c r="B764" s="8"/>
      <c r="C764" s="8"/>
      <c r="D764" s="8"/>
      <c r="E764" s="8"/>
      <c r="F764" s="129"/>
      <c r="G764" s="8"/>
      <c r="L764" s="128"/>
      <c r="Q764" s="128"/>
    </row>
    <row r="765">
      <c r="B765" s="8"/>
      <c r="C765" s="8"/>
      <c r="D765" s="8"/>
      <c r="E765" s="8"/>
      <c r="F765" s="129"/>
      <c r="G765" s="8"/>
      <c r="L765" s="128"/>
      <c r="Q765" s="128"/>
    </row>
    <row r="766">
      <c r="B766" s="8"/>
      <c r="C766" s="8"/>
      <c r="D766" s="8"/>
      <c r="E766" s="8"/>
      <c r="F766" s="129"/>
      <c r="G766" s="8"/>
      <c r="L766" s="128"/>
      <c r="Q766" s="128"/>
    </row>
    <row r="767">
      <c r="B767" s="8"/>
      <c r="C767" s="8"/>
      <c r="D767" s="8"/>
      <c r="E767" s="8"/>
      <c r="F767" s="129"/>
      <c r="G767" s="8"/>
      <c r="L767" s="128"/>
      <c r="Q767" s="128"/>
    </row>
    <row r="768">
      <c r="B768" s="8"/>
      <c r="C768" s="8"/>
      <c r="D768" s="8"/>
      <c r="E768" s="8"/>
      <c r="F768" s="129"/>
      <c r="G768" s="8"/>
      <c r="L768" s="128"/>
      <c r="Q768" s="128"/>
    </row>
    <row r="769">
      <c r="B769" s="8"/>
      <c r="C769" s="8"/>
      <c r="D769" s="8"/>
      <c r="E769" s="8"/>
      <c r="F769" s="129"/>
      <c r="G769" s="8"/>
      <c r="L769" s="128"/>
      <c r="Q769" s="128"/>
    </row>
    <row r="770">
      <c r="B770" s="8"/>
      <c r="C770" s="8"/>
      <c r="D770" s="8"/>
      <c r="E770" s="8"/>
      <c r="F770" s="129"/>
      <c r="G770" s="8"/>
      <c r="L770" s="128"/>
      <c r="Q770" s="128"/>
    </row>
    <row r="771">
      <c r="B771" s="8"/>
      <c r="C771" s="8"/>
      <c r="D771" s="8"/>
      <c r="E771" s="8"/>
      <c r="F771" s="129"/>
      <c r="G771" s="8"/>
      <c r="L771" s="128"/>
      <c r="Q771" s="128"/>
    </row>
    <row r="772">
      <c r="B772" s="8"/>
      <c r="C772" s="8"/>
      <c r="D772" s="8"/>
      <c r="E772" s="8"/>
      <c r="F772" s="129"/>
      <c r="G772" s="8"/>
      <c r="L772" s="128"/>
      <c r="Q772" s="128"/>
    </row>
    <row r="773">
      <c r="B773" s="8"/>
      <c r="C773" s="8"/>
      <c r="D773" s="8"/>
      <c r="E773" s="8"/>
      <c r="F773" s="129"/>
      <c r="G773" s="8"/>
      <c r="L773" s="128"/>
      <c r="Q773" s="128"/>
    </row>
    <row r="774">
      <c r="B774" s="8"/>
      <c r="C774" s="8"/>
      <c r="D774" s="8"/>
      <c r="E774" s="8"/>
      <c r="F774" s="129"/>
      <c r="G774" s="8"/>
      <c r="L774" s="128"/>
      <c r="Q774" s="128"/>
    </row>
    <row r="775">
      <c r="B775" s="8"/>
      <c r="C775" s="8"/>
      <c r="D775" s="8"/>
      <c r="E775" s="8"/>
      <c r="F775" s="129"/>
      <c r="G775" s="8"/>
      <c r="L775" s="128"/>
      <c r="Q775" s="128"/>
    </row>
    <row r="776">
      <c r="B776" s="8"/>
      <c r="C776" s="8"/>
      <c r="D776" s="8"/>
      <c r="E776" s="8"/>
      <c r="F776" s="129"/>
      <c r="G776" s="8"/>
      <c r="L776" s="128"/>
      <c r="Q776" s="128"/>
    </row>
    <row r="777">
      <c r="B777" s="8"/>
      <c r="C777" s="8"/>
      <c r="D777" s="8"/>
      <c r="E777" s="8"/>
      <c r="F777" s="129"/>
      <c r="G777" s="8"/>
      <c r="L777" s="128"/>
      <c r="Q777" s="128"/>
    </row>
    <row r="778">
      <c r="B778" s="8"/>
      <c r="C778" s="8"/>
      <c r="D778" s="8"/>
      <c r="E778" s="8"/>
      <c r="F778" s="129"/>
      <c r="G778" s="8"/>
      <c r="L778" s="128"/>
      <c r="Q778" s="128"/>
    </row>
    <row r="779">
      <c r="B779" s="8"/>
      <c r="C779" s="8"/>
      <c r="D779" s="8"/>
      <c r="E779" s="8"/>
      <c r="F779" s="129"/>
      <c r="G779" s="8"/>
      <c r="L779" s="128"/>
      <c r="Q779" s="128"/>
    </row>
    <row r="780">
      <c r="B780" s="8"/>
      <c r="C780" s="8"/>
      <c r="D780" s="8"/>
      <c r="E780" s="8"/>
      <c r="F780" s="129"/>
      <c r="G780" s="8"/>
      <c r="L780" s="128"/>
      <c r="Q780" s="128"/>
    </row>
    <row r="781">
      <c r="B781" s="8"/>
      <c r="C781" s="8"/>
      <c r="D781" s="8"/>
      <c r="E781" s="8"/>
      <c r="F781" s="129"/>
      <c r="G781" s="8"/>
      <c r="L781" s="128"/>
      <c r="Q781" s="128"/>
    </row>
    <row r="782">
      <c r="B782" s="8"/>
      <c r="C782" s="8"/>
      <c r="D782" s="8"/>
      <c r="E782" s="8"/>
      <c r="F782" s="129"/>
      <c r="G782" s="8"/>
      <c r="L782" s="128"/>
      <c r="Q782" s="128"/>
    </row>
    <row r="783">
      <c r="B783" s="8"/>
      <c r="C783" s="8"/>
      <c r="D783" s="8"/>
      <c r="E783" s="8"/>
      <c r="F783" s="129"/>
      <c r="G783" s="8"/>
      <c r="L783" s="128"/>
      <c r="Q783" s="128"/>
    </row>
    <row r="784">
      <c r="B784" s="8"/>
      <c r="C784" s="8"/>
      <c r="D784" s="8"/>
      <c r="E784" s="8"/>
      <c r="F784" s="129"/>
      <c r="G784" s="8"/>
      <c r="L784" s="128"/>
      <c r="Q784" s="128"/>
    </row>
    <row r="785">
      <c r="B785" s="8"/>
      <c r="C785" s="8"/>
      <c r="D785" s="8"/>
      <c r="E785" s="8"/>
      <c r="F785" s="129"/>
      <c r="G785" s="8"/>
      <c r="L785" s="128"/>
      <c r="Q785" s="128"/>
    </row>
    <row r="786">
      <c r="B786" s="8"/>
      <c r="C786" s="8"/>
      <c r="D786" s="8"/>
      <c r="E786" s="8"/>
      <c r="F786" s="129"/>
      <c r="G786" s="8"/>
      <c r="L786" s="128"/>
      <c r="Q786" s="128"/>
    </row>
    <row r="787">
      <c r="B787" s="8"/>
      <c r="C787" s="8"/>
      <c r="D787" s="8"/>
      <c r="E787" s="8"/>
      <c r="F787" s="129"/>
      <c r="G787" s="8"/>
      <c r="L787" s="128"/>
      <c r="Q787" s="128"/>
    </row>
    <row r="788">
      <c r="B788" s="8"/>
      <c r="C788" s="8"/>
      <c r="D788" s="8"/>
      <c r="E788" s="8"/>
      <c r="F788" s="129"/>
      <c r="G788" s="8"/>
      <c r="L788" s="128"/>
      <c r="Q788" s="128"/>
    </row>
    <row r="789">
      <c r="B789" s="8"/>
      <c r="C789" s="8"/>
      <c r="D789" s="8"/>
      <c r="E789" s="8"/>
      <c r="F789" s="129"/>
      <c r="G789" s="8"/>
      <c r="L789" s="128"/>
      <c r="Q789" s="128"/>
    </row>
    <row r="790">
      <c r="B790" s="8"/>
      <c r="C790" s="8"/>
      <c r="D790" s="8"/>
      <c r="E790" s="8"/>
      <c r="F790" s="129"/>
      <c r="G790" s="8"/>
      <c r="L790" s="128"/>
      <c r="Q790" s="128"/>
    </row>
    <row r="791">
      <c r="B791" s="8"/>
      <c r="C791" s="8"/>
      <c r="D791" s="8"/>
      <c r="E791" s="8"/>
      <c r="F791" s="129"/>
      <c r="G791" s="8"/>
      <c r="L791" s="128"/>
      <c r="Q791" s="128"/>
    </row>
    <row r="792">
      <c r="B792" s="8"/>
      <c r="C792" s="8"/>
      <c r="D792" s="8"/>
      <c r="E792" s="8"/>
      <c r="F792" s="129"/>
      <c r="G792" s="8"/>
      <c r="L792" s="128"/>
      <c r="Q792" s="128"/>
    </row>
    <row r="793">
      <c r="B793" s="8"/>
      <c r="C793" s="8"/>
      <c r="D793" s="8"/>
      <c r="E793" s="8"/>
      <c r="F793" s="129"/>
      <c r="G793" s="8"/>
      <c r="L793" s="128"/>
      <c r="Q793" s="128"/>
    </row>
    <row r="794">
      <c r="B794" s="8"/>
      <c r="C794" s="8"/>
      <c r="D794" s="8"/>
      <c r="E794" s="8"/>
      <c r="F794" s="129"/>
      <c r="G794" s="8"/>
      <c r="L794" s="128"/>
      <c r="Q794" s="128"/>
    </row>
    <row r="795">
      <c r="B795" s="8"/>
      <c r="C795" s="8"/>
      <c r="D795" s="8"/>
      <c r="E795" s="8"/>
      <c r="F795" s="129"/>
      <c r="G795" s="8"/>
      <c r="L795" s="128"/>
      <c r="Q795" s="128"/>
    </row>
    <row r="796">
      <c r="B796" s="8"/>
      <c r="C796" s="8"/>
      <c r="D796" s="8"/>
      <c r="E796" s="8"/>
      <c r="F796" s="129"/>
      <c r="G796" s="8"/>
      <c r="L796" s="128"/>
      <c r="Q796" s="128"/>
    </row>
    <row r="797">
      <c r="B797" s="8"/>
      <c r="C797" s="8"/>
      <c r="D797" s="8"/>
      <c r="E797" s="8"/>
      <c r="F797" s="129"/>
      <c r="G797" s="8"/>
      <c r="L797" s="128"/>
      <c r="Q797" s="128"/>
    </row>
    <row r="798">
      <c r="B798" s="8"/>
      <c r="C798" s="8"/>
      <c r="D798" s="8"/>
      <c r="E798" s="8"/>
      <c r="F798" s="129"/>
      <c r="G798" s="8"/>
      <c r="L798" s="128"/>
      <c r="Q798" s="128"/>
    </row>
    <row r="799">
      <c r="B799" s="8"/>
      <c r="C799" s="8"/>
      <c r="D799" s="8"/>
      <c r="E799" s="8"/>
      <c r="F799" s="129"/>
      <c r="G799" s="8"/>
      <c r="L799" s="128"/>
      <c r="Q799" s="128"/>
    </row>
    <row r="800">
      <c r="B800" s="8"/>
      <c r="C800" s="8"/>
      <c r="D800" s="8"/>
      <c r="E800" s="8"/>
      <c r="F800" s="129"/>
      <c r="G800" s="8"/>
      <c r="L800" s="128"/>
      <c r="Q800" s="128"/>
    </row>
    <row r="801">
      <c r="B801" s="8"/>
      <c r="C801" s="8"/>
      <c r="D801" s="8"/>
      <c r="E801" s="8"/>
      <c r="F801" s="129"/>
      <c r="G801" s="8"/>
      <c r="L801" s="128"/>
      <c r="Q801" s="128"/>
    </row>
    <row r="802">
      <c r="B802" s="8"/>
      <c r="C802" s="8"/>
      <c r="D802" s="8"/>
      <c r="E802" s="8"/>
      <c r="F802" s="129"/>
      <c r="G802" s="8"/>
      <c r="L802" s="128"/>
      <c r="Q802" s="128"/>
    </row>
    <row r="803">
      <c r="B803" s="8"/>
      <c r="C803" s="8"/>
      <c r="D803" s="8"/>
      <c r="E803" s="8"/>
      <c r="F803" s="129"/>
      <c r="G803" s="8"/>
      <c r="L803" s="128"/>
      <c r="Q803" s="128"/>
    </row>
    <row r="804">
      <c r="B804" s="8"/>
      <c r="C804" s="8"/>
      <c r="D804" s="8"/>
      <c r="E804" s="8"/>
      <c r="F804" s="129"/>
      <c r="G804" s="8"/>
      <c r="L804" s="128"/>
      <c r="Q804" s="128"/>
    </row>
    <row r="805">
      <c r="B805" s="8"/>
      <c r="C805" s="8"/>
      <c r="D805" s="8"/>
      <c r="E805" s="8"/>
      <c r="F805" s="129"/>
      <c r="G805" s="8"/>
      <c r="L805" s="128"/>
      <c r="Q805" s="128"/>
    </row>
    <row r="806">
      <c r="B806" s="8"/>
      <c r="C806" s="8"/>
      <c r="D806" s="8"/>
      <c r="E806" s="8"/>
      <c r="F806" s="129"/>
      <c r="G806" s="8"/>
      <c r="L806" s="128"/>
      <c r="Q806" s="128"/>
    </row>
    <row r="807">
      <c r="B807" s="8"/>
      <c r="C807" s="8"/>
      <c r="D807" s="8"/>
      <c r="E807" s="8"/>
      <c r="F807" s="129"/>
      <c r="G807" s="8"/>
      <c r="L807" s="128"/>
      <c r="Q807" s="128"/>
    </row>
    <row r="808">
      <c r="B808" s="8"/>
      <c r="C808" s="8"/>
      <c r="D808" s="8"/>
      <c r="E808" s="8"/>
      <c r="F808" s="129"/>
      <c r="G808" s="8"/>
      <c r="L808" s="128"/>
      <c r="Q808" s="128"/>
    </row>
    <row r="809">
      <c r="B809" s="8"/>
      <c r="C809" s="8"/>
      <c r="D809" s="8"/>
      <c r="E809" s="8"/>
      <c r="F809" s="129"/>
      <c r="G809" s="8"/>
      <c r="L809" s="128"/>
      <c r="Q809" s="128"/>
    </row>
    <row r="810">
      <c r="B810" s="8"/>
      <c r="C810" s="8"/>
      <c r="D810" s="8"/>
      <c r="E810" s="8"/>
      <c r="F810" s="129"/>
      <c r="G810" s="8"/>
      <c r="L810" s="128"/>
      <c r="Q810" s="128"/>
    </row>
    <row r="811">
      <c r="B811" s="8"/>
      <c r="C811" s="8"/>
      <c r="D811" s="8"/>
      <c r="E811" s="8"/>
      <c r="F811" s="129"/>
      <c r="G811" s="8"/>
      <c r="L811" s="128"/>
      <c r="Q811" s="128"/>
    </row>
    <row r="812">
      <c r="B812" s="8"/>
      <c r="C812" s="8"/>
      <c r="D812" s="8"/>
      <c r="E812" s="8"/>
      <c r="F812" s="129"/>
      <c r="G812" s="8"/>
      <c r="L812" s="128"/>
      <c r="Q812" s="128"/>
    </row>
    <row r="813">
      <c r="B813" s="8"/>
      <c r="C813" s="8"/>
      <c r="D813" s="8"/>
      <c r="E813" s="8"/>
      <c r="F813" s="129"/>
      <c r="G813" s="8"/>
      <c r="L813" s="128"/>
      <c r="Q813" s="128"/>
    </row>
    <row r="814">
      <c r="B814" s="8"/>
      <c r="C814" s="8"/>
      <c r="D814" s="8"/>
      <c r="E814" s="8"/>
      <c r="F814" s="129"/>
      <c r="G814" s="8"/>
      <c r="L814" s="128"/>
      <c r="Q814" s="128"/>
    </row>
    <row r="815">
      <c r="B815" s="8"/>
      <c r="C815" s="8"/>
      <c r="D815" s="8"/>
      <c r="E815" s="8"/>
      <c r="F815" s="129"/>
      <c r="G815" s="8"/>
      <c r="L815" s="128"/>
      <c r="Q815" s="128"/>
    </row>
    <row r="816">
      <c r="B816" s="8"/>
      <c r="C816" s="8"/>
      <c r="D816" s="8"/>
      <c r="E816" s="8"/>
      <c r="F816" s="129"/>
      <c r="G816" s="8"/>
      <c r="L816" s="128"/>
      <c r="Q816" s="128"/>
    </row>
    <row r="817">
      <c r="B817" s="8"/>
      <c r="C817" s="8"/>
      <c r="D817" s="8"/>
      <c r="E817" s="8"/>
      <c r="F817" s="129"/>
      <c r="G817" s="8"/>
      <c r="L817" s="128"/>
      <c r="Q817" s="128"/>
    </row>
    <row r="818">
      <c r="B818" s="8"/>
      <c r="C818" s="8"/>
      <c r="D818" s="8"/>
      <c r="E818" s="8"/>
      <c r="F818" s="129"/>
      <c r="G818" s="8"/>
      <c r="L818" s="128"/>
      <c r="Q818" s="128"/>
    </row>
    <row r="819">
      <c r="B819" s="8"/>
      <c r="C819" s="8"/>
      <c r="D819" s="8"/>
      <c r="E819" s="8"/>
      <c r="F819" s="129"/>
      <c r="G819" s="8"/>
      <c r="L819" s="128"/>
      <c r="Q819" s="128"/>
    </row>
    <row r="820">
      <c r="B820" s="8"/>
      <c r="C820" s="8"/>
      <c r="D820" s="8"/>
      <c r="E820" s="8"/>
      <c r="F820" s="129"/>
      <c r="G820" s="8"/>
      <c r="L820" s="128"/>
      <c r="Q820" s="128"/>
    </row>
    <row r="821">
      <c r="B821" s="8"/>
      <c r="C821" s="8"/>
      <c r="D821" s="8"/>
      <c r="E821" s="8"/>
      <c r="F821" s="129"/>
      <c r="G821" s="8"/>
      <c r="L821" s="128"/>
      <c r="Q821" s="128"/>
    </row>
    <row r="822">
      <c r="B822" s="8"/>
      <c r="C822" s="8"/>
      <c r="D822" s="8"/>
      <c r="E822" s="8"/>
      <c r="F822" s="129"/>
      <c r="G822" s="8"/>
      <c r="L822" s="128"/>
      <c r="Q822" s="128"/>
    </row>
    <row r="823">
      <c r="B823" s="8"/>
      <c r="C823" s="8"/>
      <c r="D823" s="8"/>
      <c r="E823" s="8"/>
      <c r="F823" s="129"/>
      <c r="G823" s="8"/>
      <c r="L823" s="128"/>
      <c r="Q823" s="128"/>
    </row>
    <row r="824">
      <c r="B824" s="8"/>
      <c r="C824" s="8"/>
      <c r="D824" s="8"/>
      <c r="E824" s="8"/>
      <c r="F824" s="129"/>
      <c r="G824" s="8"/>
      <c r="L824" s="128"/>
      <c r="Q824" s="128"/>
    </row>
    <row r="825">
      <c r="B825" s="8"/>
      <c r="C825" s="8"/>
      <c r="D825" s="8"/>
      <c r="E825" s="8"/>
      <c r="F825" s="129"/>
      <c r="G825" s="8"/>
      <c r="L825" s="128"/>
      <c r="Q825" s="128"/>
    </row>
    <row r="826">
      <c r="B826" s="8"/>
      <c r="C826" s="8"/>
      <c r="D826" s="8"/>
      <c r="E826" s="8"/>
      <c r="F826" s="129"/>
      <c r="G826" s="8"/>
      <c r="L826" s="128"/>
      <c r="Q826" s="128"/>
    </row>
    <row r="827">
      <c r="B827" s="8"/>
      <c r="C827" s="8"/>
      <c r="D827" s="8"/>
      <c r="E827" s="8"/>
      <c r="F827" s="129"/>
      <c r="G827" s="8"/>
      <c r="L827" s="128"/>
      <c r="Q827" s="128"/>
    </row>
    <row r="828">
      <c r="B828" s="8"/>
      <c r="C828" s="8"/>
      <c r="D828" s="8"/>
      <c r="E828" s="8"/>
      <c r="F828" s="129"/>
      <c r="G828" s="8"/>
      <c r="L828" s="128"/>
      <c r="Q828" s="128"/>
    </row>
    <row r="829">
      <c r="B829" s="8"/>
      <c r="C829" s="8"/>
      <c r="D829" s="8"/>
      <c r="E829" s="8"/>
      <c r="F829" s="129"/>
      <c r="G829" s="8"/>
      <c r="L829" s="128"/>
      <c r="Q829" s="128"/>
    </row>
    <row r="830">
      <c r="B830" s="8"/>
      <c r="C830" s="8"/>
      <c r="D830" s="8"/>
      <c r="E830" s="8"/>
      <c r="F830" s="129"/>
      <c r="G830" s="8"/>
      <c r="L830" s="128"/>
      <c r="Q830" s="128"/>
    </row>
    <row r="831">
      <c r="B831" s="8"/>
      <c r="C831" s="8"/>
      <c r="D831" s="8"/>
      <c r="E831" s="8"/>
      <c r="F831" s="129"/>
      <c r="G831" s="8"/>
      <c r="L831" s="128"/>
      <c r="Q831" s="128"/>
    </row>
    <row r="832">
      <c r="B832" s="8"/>
      <c r="C832" s="8"/>
      <c r="D832" s="8"/>
      <c r="E832" s="8"/>
      <c r="F832" s="129"/>
      <c r="G832" s="8"/>
      <c r="L832" s="128"/>
      <c r="Q832" s="128"/>
    </row>
    <row r="833">
      <c r="B833" s="8"/>
      <c r="C833" s="8"/>
      <c r="D833" s="8"/>
      <c r="E833" s="8"/>
      <c r="F833" s="129"/>
      <c r="G833" s="8"/>
      <c r="L833" s="128"/>
      <c r="Q833" s="128"/>
    </row>
    <row r="834">
      <c r="B834" s="8"/>
      <c r="C834" s="8"/>
      <c r="D834" s="8"/>
      <c r="E834" s="8"/>
      <c r="F834" s="129"/>
      <c r="G834" s="8"/>
      <c r="L834" s="128"/>
      <c r="Q834" s="128"/>
    </row>
    <row r="835">
      <c r="B835" s="8"/>
      <c r="C835" s="8"/>
      <c r="D835" s="8"/>
      <c r="E835" s="8"/>
      <c r="F835" s="129"/>
      <c r="G835" s="8"/>
      <c r="L835" s="128"/>
      <c r="Q835" s="128"/>
    </row>
    <row r="836">
      <c r="B836" s="8"/>
      <c r="C836" s="8"/>
      <c r="D836" s="8"/>
      <c r="E836" s="8"/>
      <c r="F836" s="129"/>
      <c r="G836" s="8"/>
      <c r="L836" s="128"/>
      <c r="Q836" s="128"/>
    </row>
    <row r="837">
      <c r="B837" s="8"/>
      <c r="C837" s="8"/>
      <c r="D837" s="8"/>
      <c r="E837" s="8"/>
      <c r="F837" s="129"/>
      <c r="G837" s="8"/>
      <c r="L837" s="128"/>
      <c r="Q837" s="128"/>
    </row>
    <row r="838">
      <c r="B838" s="8"/>
      <c r="C838" s="8"/>
      <c r="D838" s="8"/>
      <c r="E838" s="8"/>
      <c r="F838" s="129"/>
      <c r="G838" s="8"/>
      <c r="L838" s="128"/>
      <c r="Q838" s="128"/>
    </row>
    <row r="839">
      <c r="B839" s="8"/>
      <c r="C839" s="8"/>
      <c r="D839" s="8"/>
      <c r="E839" s="8"/>
      <c r="F839" s="129"/>
      <c r="G839" s="8"/>
      <c r="L839" s="128"/>
      <c r="Q839" s="128"/>
    </row>
    <row r="840">
      <c r="B840" s="8"/>
      <c r="C840" s="8"/>
      <c r="D840" s="8"/>
      <c r="E840" s="8"/>
      <c r="F840" s="129"/>
      <c r="G840" s="8"/>
      <c r="L840" s="128"/>
      <c r="Q840" s="128"/>
    </row>
    <row r="841">
      <c r="B841" s="8"/>
      <c r="C841" s="8"/>
      <c r="D841" s="8"/>
      <c r="E841" s="8"/>
      <c r="F841" s="129"/>
      <c r="G841" s="8"/>
      <c r="L841" s="128"/>
      <c r="Q841" s="128"/>
    </row>
    <row r="842">
      <c r="B842" s="8"/>
      <c r="C842" s="8"/>
      <c r="D842" s="8"/>
      <c r="E842" s="8"/>
      <c r="F842" s="129"/>
      <c r="G842" s="8"/>
      <c r="L842" s="128"/>
      <c r="Q842" s="128"/>
    </row>
    <row r="843">
      <c r="B843" s="8"/>
      <c r="C843" s="8"/>
      <c r="D843" s="8"/>
      <c r="E843" s="8"/>
      <c r="F843" s="129"/>
      <c r="G843" s="8"/>
      <c r="L843" s="128"/>
      <c r="Q843" s="128"/>
    </row>
    <row r="844">
      <c r="B844" s="8"/>
      <c r="C844" s="8"/>
      <c r="D844" s="8"/>
      <c r="E844" s="8"/>
      <c r="F844" s="129"/>
      <c r="G844" s="8"/>
      <c r="L844" s="128"/>
      <c r="Q844" s="128"/>
    </row>
    <row r="845">
      <c r="B845" s="8"/>
      <c r="C845" s="8"/>
      <c r="D845" s="8"/>
      <c r="E845" s="8"/>
      <c r="F845" s="129"/>
      <c r="G845" s="8"/>
      <c r="L845" s="128"/>
      <c r="Q845" s="128"/>
    </row>
    <row r="846">
      <c r="B846" s="8"/>
      <c r="C846" s="8"/>
      <c r="D846" s="8"/>
      <c r="E846" s="8"/>
      <c r="F846" s="129"/>
      <c r="G846" s="8"/>
      <c r="L846" s="128"/>
      <c r="Q846" s="128"/>
    </row>
    <row r="847">
      <c r="B847" s="8"/>
      <c r="C847" s="8"/>
      <c r="D847" s="8"/>
      <c r="E847" s="8"/>
      <c r="F847" s="129"/>
      <c r="G847" s="8"/>
      <c r="L847" s="128"/>
      <c r="Q847" s="128"/>
    </row>
    <row r="848">
      <c r="B848" s="8"/>
      <c r="C848" s="8"/>
      <c r="D848" s="8"/>
      <c r="E848" s="8"/>
      <c r="F848" s="129"/>
      <c r="G848" s="8"/>
      <c r="L848" s="128"/>
      <c r="Q848" s="128"/>
    </row>
    <row r="849">
      <c r="B849" s="8"/>
      <c r="C849" s="8"/>
      <c r="D849" s="8"/>
      <c r="E849" s="8"/>
      <c r="F849" s="129"/>
      <c r="G849" s="8"/>
      <c r="L849" s="128"/>
      <c r="Q849" s="128"/>
    </row>
    <row r="850">
      <c r="B850" s="8"/>
      <c r="C850" s="8"/>
      <c r="D850" s="8"/>
      <c r="E850" s="8"/>
      <c r="F850" s="129"/>
      <c r="G850" s="8"/>
      <c r="L850" s="128"/>
      <c r="Q850" s="128"/>
    </row>
    <row r="851">
      <c r="B851" s="8"/>
      <c r="C851" s="8"/>
      <c r="D851" s="8"/>
      <c r="E851" s="8"/>
      <c r="F851" s="129"/>
      <c r="G851" s="8"/>
      <c r="L851" s="128"/>
      <c r="Q851" s="128"/>
    </row>
    <row r="852">
      <c r="B852" s="8"/>
      <c r="C852" s="8"/>
      <c r="D852" s="8"/>
      <c r="E852" s="8"/>
      <c r="F852" s="129"/>
      <c r="G852" s="8"/>
      <c r="L852" s="128"/>
      <c r="Q852" s="128"/>
    </row>
    <row r="853">
      <c r="B853" s="8"/>
      <c r="C853" s="8"/>
      <c r="D853" s="8"/>
      <c r="E853" s="8"/>
      <c r="F853" s="129"/>
      <c r="G853" s="8"/>
      <c r="L853" s="128"/>
      <c r="Q853" s="128"/>
    </row>
    <row r="854">
      <c r="B854" s="8"/>
      <c r="C854" s="8"/>
      <c r="D854" s="8"/>
      <c r="E854" s="8"/>
      <c r="F854" s="129"/>
      <c r="G854" s="8"/>
      <c r="L854" s="128"/>
      <c r="Q854" s="128"/>
    </row>
    <row r="855">
      <c r="B855" s="8"/>
      <c r="C855" s="8"/>
      <c r="D855" s="8"/>
      <c r="E855" s="8"/>
      <c r="F855" s="129"/>
      <c r="G855" s="8"/>
      <c r="L855" s="128"/>
      <c r="Q855" s="128"/>
    </row>
    <row r="856">
      <c r="B856" s="8"/>
      <c r="C856" s="8"/>
      <c r="D856" s="8"/>
      <c r="E856" s="8"/>
      <c r="F856" s="129"/>
      <c r="G856" s="8"/>
      <c r="L856" s="128"/>
      <c r="Q856" s="128"/>
    </row>
    <row r="857">
      <c r="B857" s="8"/>
      <c r="C857" s="8"/>
      <c r="D857" s="8"/>
      <c r="E857" s="8"/>
      <c r="F857" s="129"/>
      <c r="G857" s="8"/>
      <c r="L857" s="128"/>
      <c r="Q857" s="128"/>
    </row>
    <row r="858">
      <c r="B858" s="8"/>
      <c r="C858" s="8"/>
      <c r="D858" s="8"/>
      <c r="E858" s="8"/>
      <c r="F858" s="129"/>
      <c r="G858" s="8"/>
      <c r="L858" s="128"/>
      <c r="Q858" s="128"/>
    </row>
    <row r="859">
      <c r="B859" s="8"/>
      <c r="C859" s="8"/>
      <c r="D859" s="8"/>
      <c r="E859" s="8"/>
      <c r="F859" s="129"/>
      <c r="G859" s="8"/>
      <c r="L859" s="128"/>
      <c r="Q859" s="128"/>
    </row>
    <row r="860">
      <c r="B860" s="8"/>
      <c r="C860" s="8"/>
      <c r="D860" s="8"/>
      <c r="E860" s="8"/>
      <c r="F860" s="129"/>
      <c r="G860" s="8"/>
      <c r="L860" s="128"/>
      <c r="Q860" s="128"/>
    </row>
    <row r="861">
      <c r="B861" s="8"/>
      <c r="C861" s="8"/>
      <c r="D861" s="8"/>
      <c r="E861" s="8"/>
      <c r="F861" s="129"/>
      <c r="G861" s="8"/>
      <c r="L861" s="128"/>
      <c r="Q861" s="128"/>
    </row>
    <row r="862">
      <c r="B862" s="8"/>
      <c r="C862" s="8"/>
      <c r="D862" s="8"/>
      <c r="E862" s="8"/>
      <c r="F862" s="129"/>
      <c r="G862" s="8"/>
      <c r="L862" s="128"/>
      <c r="Q862" s="128"/>
    </row>
    <row r="863">
      <c r="B863" s="8"/>
      <c r="C863" s="8"/>
      <c r="D863" s="8"/>
      <c r="E863" s="8"/>
      <c r="F863" s="129"/>
      <c r="G863" s="8"/>
      <c r="L863" s="128"/>
      <c r="Q863" s="128"/>
    </row>
    <row r="864">
      <c r="B864" s="8"/>
      <c r="C864" s="8"/>
      <c r="D864" s="8"/>
      <c r="E864" s="8"/>
      <c r="F864" s="129"/>
      <c r="G864" s="8"/>
      <c r="L864" s="128"/>
      <c r="Q864" s="128"/>
    </row>
    <row r="865">
      <c r="B865" s="8"/>
      <c r="C865" s="8"/>
      <c r="D865" s="8"/>
      <c r="E865" s="8"/>
      <c r="F865" s="129"/>
      <c r="G865" s="8"/>
      <c r="L865" s="128"/>
      <c r="Q865" s="128"/>
    </row>
    <row r="866">
      <c r="B866" s="8"/>
      <c r="C866" s="8"/>
      <c r="D866" s="8"/>
      <c r="E866" s="8"/>
      <c r="F866" s="129"/>
      <c r="G866" s="8"/>
      <c r="L866" s="128"/>
      <c r="Q866" s="128"/>
    </row>
    <row r="867">
      <c r="B867" s="8"/>
      <c r="C867" s="8"/>
      <c r="D867" s="8"/>
      <c r="E867" s="8"/>
      <c r="F867" s="129"/>
      <c r="G867" s="8"/>
      <c r="L867" s="128"/>
      <c r="Q867" s="128"/>
    </row>
    <row r="868">
      <c r="B868" s="8"/>
      <c r="C868" s="8"/>
      <c r="D868" s="8"/>
      <c r="E868" s="8"/>
      <c r="F868" s="129"/>
      <c r="G868" s="8"/>
      <c r="L868" s="128"/>
      <c r="Q868" s="128"/>
    </row>
    <row r="869">
      <c r="B869" s="8"/>
      <c r="C869" s="8"/>
      <c r="D869" s="8"/>
      <c r="E869" s="8"/>
      <c r="F869" s="129"/>
      <c r="G869" s="8"/>
      <c r="L869" s="128"/>
      <c r="Q869" s="128"/>
    </row>
    <row r="870">
      <c r="B870" s="8"/>
      <c r="C870" s="8"/>
      <c r="D870" s="8"/>
      <c r="E870" s="8"/>
      <c r="F870" s="129"/>
      <c r="G870" s="8"/>
      <c r="L870" s="128"/>
      <c r="Q870" s="128"/>
    </row>
    <row r="871">
      <c r="B871" s="8"/>
      <c r="C871" s="8"/>
      <c r="D871" s="8"/>
      <c r="E871" s="8"/>
      <c r="F871" s="129"/>
      <c r="G871" s="8"/>
      <c r="L871" s="128"/>
      <c r="Q871" s="128"/>
    </row>
    <row r="872">
      <c r="B872" s="8"/>
      <c r="C872" s="8"/>
      <c r="D872" s="8"/>
      <c r="E872" s="8"/>
      <c r="F872" s="129"/>
      <c r="G872" s="8"/>
      <c r="L872" s="128"/>
      <c r="Q872" s="128"/>
    </row>
    <row r="873">
      <c r="B873" s="8"/>
      <c r="C873" s="8"/>
      <c r="D873" s="8"/>
      <c r="E873" s="8"/>
      <c r="F873" s="129"/>
      <c r="G873" s="8"/>
      <c r="L873" s="128"/>
      <c r="Q873" s="128"/>
    </row>
    <row r="874">
      <c r="B874" s="8"/>
      <c r="C874" s="8"/>
      <c r="D874" s="8"/>
      <c r="E874" s="8"/>
      <c r="F874" s="129"/>
      <c r="G874" s="8"/>
      <c r="L874" s="128"/>
      <c r="Q874" s="128"/>
    </row>
    <row r="875">
      <c r="B875" s="8"/>
      <c r="C875" s="8"/>
      <c r="D875" s="8"/>
      <c r="E875" s="8"/>
      <c r="F875" s="129"/>
      <c r="G875" s="8"/>
      <c r="L875" s="128"/>
      <c r="Q875" s="128"/>
    </row>
    <row r="876">
      <c r="B876" s="8"/>
      <c r="C876" s="8"/>
      <c r="D876" s="8"/>
      <c r="E876" s="8"/>
      <c r="F876" s="129"/>
      <c r="G876" s="8"/>
      <c r="L876" s="128"/>
      <c r="Q876" s="128"/>
    </row>
    <row r="877">
      <c r="B877" s="8"/>
      <c r="C877" s="8"/>
      <c r="D877" s="8"/>
      <c r="E877" s="8"/>
      <c r="F877" s="129"/>
      <c r="G877" s="8"/>
      <c r="L877" s="128"/>
      <c r="Q877" s="128"/>
    </row>
    <row r="878">
      <c r="B878" s="8"/>
      <c r="C878" s="8"/>
      <c r="D878" s="8"/>
      <c r="E878" s="8"/>
      <c r="F878" s="129"/>
      <c r="G878" s="8"/>
      <c r="L878" s="128"/>
      <c r="Q878" s="128"/>
    </row>
    <row r="879">
      <c r="B879" s="8"/>
      <c r="C879" s="8"/>
      <c r="D879" s="8"/>
      <c r="E879" s="8"/>
      <c r="F879" s="129"/>
      <c r="G879" s="8"/>
      <c r="L879" s="128"/>
      <c r="Q879" s="128"/>
    </row>
    <row r="880">
      <c r="B880" s="8"/>
      <c r="C880" s="8"/>
      <c r="D880" s="8"/>
      <c r="E880" s="8"/>
      <c r="F880" s="129"/>
      <c r="G880" s="8"/>
      <c r="L880" s="128"/>
      <c r="Q880" s="128"/>
    </row>
    <row r="881">
      <c r="B881" s="8"/>
      <c r="C881" s="8"/>
      <c r="D881" s="8"/>
      <c r="E881" s="8"/>
      <c r="F881" s="129"/>
      <c r="G881" s="8"/>
      <c r="L881" s="128"/>
      <c r="Q881" s="128"/>
    </row>
    <row r="882">
      <c r="B882" s="8"/>
      <c r="C882" s="8"/>
      <c r="D882" s="8"/>
      <c r="E882" s="8"/>
      <c r="F882" s="129"/>
      <c r="G882" s="8"/>
      <c r="L882" s="128"/>
      <c r="Q882" s="128"/>
    </row>
    <row r="883">
      <c r="B883" s="8"/>
      <c r="C883" s="8"/>
      <c r="D883" s="8"/>
      <c r="E883" s="8"/>
      <c r="F883" s="129"/>
      <c r="G883" s="8"/>
      <c r="L883" s="128"/>
      <c r="Q883" s="128"/>
    </row>
    <row r="884">
      <c r="B884" s="8"/>
      <c r="C884" s="8"/>
      <c r="D884" s="8"/>
      <c r="E884" s="8"/>
      <c r="F884" s="129"/>
      <c r="G884" s="8"/>
      <c r="L884" s="128"/>
      <c r="Q884" s="128"/>
    </row>
    <row r="885">
      <c r="B885" s="8"/>
      <c r="C885" s="8"/>
      <c r="D885" s="8"/>
      <c r="E885" s="8"/>
      <c r="F885" s="129"/>
      <c r="G885" s="8"/>
      <c r="L885" s="128"/>
      <c r="Q885" s="128"/>
    </row>
    <row r="886">
      <c r="B886" s="8"/>
      <c r="C886" s="8"/>
      <c r="D886" s="8"/>
      <c r="E886" s="8"/>
      <c r="F886" s="129"/>
      <c r="G886" s="8"/>
      <c r="L886" s="128"/>
      <c r="Q886" s="128"/>
    </row>
    <row r="887">
      <c r="B887" s="8"/>
      <c r="C887" s="8"/>
      <c r="D887" s="8"/>
      <c r="E887" s="8"/>
      <c r="F887" s="129"/>
      <c r="G887" s="8"/>
      <c r="L887" s="128"/>
      <c r="Q887" s="128"/>
    </row>
    <row r="888">
      <c r="B888" s="8"/>
      <c r="C888" s="8"/>
      <c r="D888" s="8"/>
      <c r="E888" s="8"/>
      <c r="F888" s="129"/>
      <c r="G888" s="8"/>
      <c r="L888" s="128"/>
      <c r="Q888" s="128"/>
    </row>
    <row r="889">
      <c r="B889" s="8"/>
      <c r="C889" s="8"/>
      <c r="D889" s="8"/>
      <c r="E889" s="8"/>
      <c r="F889" s="129"/>
      <c r="G889" s="8"/>
      <c r="L889" s="128"/>
      <c r="Q889" s="128"/>
    </row>
    <row r="890">
      <c r="B890" s="8"/>
      <c r="C890" s="8"/>
      <c r="D890" s="8"/>
      <c r="E890" s="8"/>
      <c r="F890" s="129"/>
      <c r="G890" s="8"/>
      <c r="L890" s="128"/>
      <c r="Q890" s="128"/>
    </row>
    <row r="891">
      <c r="B891" s="8"/>
      <c r="C891" s="8"/>
      <c r="D891" s="8"/>
      <c r="E891" s="8"/>
      <c r="F891" s="129"/>
      <c r="G891" s="8"/>
      <c r="L891" s="128"/>
      <c r="Q891" s="128"/>
    </row>
    <row r="892">
      <c r="B892" s="8"/>
      <c r="C892" s="8"/>
      <c r="D892" s="8"/>
      <c r="E892" s="8"/>
      <c r="F892" s="129"/>
      <c r="G892" s="8"/>
      <c r="L892" s="128"/>
      <c r="Q892" s="128"/>
    </row>
    <row r="893">
      <c r="B893" s="8"/>
      <c r="C893" s="8"/>
      <c r="D893" s="8"/>
      <c r="E893" s="8"/>
      <c r="F893" s="129"/>
      <c r="G893" s="8"/>
      <c r="L893" s="128"/>
      <c r="Q893" s="128"/>
    </row>
    <row r="894">
      <c r="B894" s="8"/>
      <c r="C894" s="8"/>
      <c r="D894" s="8"/>
      <c r="E894" s="8"/>
      <c r="F894" s="129"/>
      <c r="G894" s="8"/>
      <c r="L894" s="128"/>
      <c r="Q894" s="128"/>
    </row>
    <row r="895">
      <c r="B895" s="8"/>
      <c r="C895" s="8"/>
      <c r="D895" s="8"/>
      <c r="E895" s="8"/>
      <c r="F895" s="129"/>
      <c r="G895" s="8"/>
      <c r="L895" s="128"/>
      <c r="Q895" s="128"/>
    </row>
    <row r="896">
      <c r="B896" s="8"/>
      <c r="C896" s="8"/>
      <c r="D896" s="8"/>
      <c r="E896" s="8"/>
      <c r="F896" s="129"/>
      <c r="G896" s="8"/>
      <c r="L896" s="128"/>
      <c r="Q896" s="128"/>
    </row>
    <row r="897">
      <c r="B897" s="8"/>
      <c r="C897" s="8"/>
      <c r="D897" s="8"/>
      <c r="E897" s="8"/>
      <c r="F897" s="129"/>
      <c r="G897" s="8"/>
      <c r="L897" s="128"/>
      <c r="Q897" s="128"/>
    </row>
    <row r="898">
      <c r="B898" s="8"/>
      <c r="C898" s="8"/>
      <c r="D898" s="8"/>
      <c r="E898" s="8"/>
      <c r="F898" s="129"/>
      <c r="G898" s="8"/>
      <c r="L898" s="128"/>
      <c r="Q898" s="128"/>
    </row>
    <row r="899">
      <c r="B899" s="8"/>
      <c r="C899" s="8"/>
      <c r="D899" s="8"/>
      <c r="E899" s="8"/>
      <c r="F899" s="129"/>
      <c r="G899" s="8"/>
      <c r="L899" s="128"/>
      <c r="Q899" s="128"/>
    </row>
    <row r="900">
      <c r="B900" s="8"/>
      <c r="C900" s="8"/>
      <c r="D900" s="8"/>
      <c r="E900" s="8"/>
      <c r="F900" s="129"/>
      <c r="G900" s="8"/>
      <c r="L900" s="128"/>
      <c r="Q900" s="128"/>
    </row>
    <row r="901">
      <c r="B901" s="8"/>
      <c r="C901" s="8"/>
      <c r="D901" s="8"/>
      <c r="E901" s="8"/>
      <c r="F901" s="129"/>
      <c r="G901" s="8"/>
      <c r="L901" s="128"/>
      <c r="Q901" s="128"/>
    </row>
    <row r="902">
      <c r="B902" s="8"/>
      <c r="C902" s="8"/>
      <c r="D902" s="8"/>
      <c r="E902" s="8"/>
      <c r="F902" s="129"/>
      <c r="G902" s="8"/>
      <c r="L902" s="128"/>
      <c r="Q902" s="128"/>
    </row>
    <row r="903">
      <c r="B903" s="8"/>
      <c r="C903" s="8"/>
      <c r="D903" s="8"/>
      <c r="E903" s="8"/>
      <c r="F903" s="129"/>
      <c r="G903" s="8"/>
      <c r="L903" s="128"/>
      <c r="Q903" s="128"/>
    </row>
    <row r="904">
      <c r="B904" s="8"/>
      <c r="C904" s="8"/>
      <c r="D904" s="8"/>
      <c r="E904" s="8"/>
      <c r="F904" s="129"/>
      <c r="G904" s="8"/>
      <c r="L904" s="128"/>
      <c r="Q904" s="128"/>
    </row>
    <row r="905">
      <c r="B905" s="8"/>
      <c r="C905" s="8"/>
      <c r="D905" s="8"/>
      <c r="E905" s="8"/>
      <c r="F905" s="129"/>
      <c r="G905" s="8"/>
      <c r="L905" s="128"/>
      <c r="Q905" s="128"/>
    </row>
    <row r="906">
      <c r="B906" s="8"/>
      <c r="C906" s="8"/>
      <c r="D906" s="8"/>
      <c r="E906" s="8"/>
      <c r="F906" s="129"/>
      <c r="G906" s="8"/>
      <c r="L906" s="128"/>
      <c r="Q906" s="128"/>
    </row>
    <row r="907">
      <c r="B907" s="8"/>
      <c r="C907" s="8"/>
      <c r="D907" s="8"/>
      <c r="E907" s="8"/>
      <c r="F907" s="129"/>
      <c r="G907" s="8"/>
      <c r="L907" s="128"/>
      <c r="Q907" s="128"/>
    </row>
    <row r="908">
      <c r="B908" s="8"/>
      <c r="C908" s="8"/>
      <c r="D908" s="8"/>
      <c r="E908" s="8"/>
      <c r="F908" s="129"/>
      <c r="G908" s="8"/>
      <c r="L908" s="128"/>
      <c r="Q908" s="128"/>
    </row>
    <row r="909">
      <c r="B909" s="8"/>
      <c r="C909" s="8"/>
      <c r="D909" s="8"/>
      <c r="E909" s="8"/>
      <c r="F909" s="129"/>
      <c r="G909" s="8"/>
      <c r="L909" s="128"/>
      <c r="Q909" s="128"/>
    </row>
    <row r="910">
      <c r="B910" s="8"/>
      <c r="C910" s="8"/>
      <c r="D910" s="8"/>
      <c r="E910" s="8"/>
      <c r="F910" s="129"/>
      <c r="G910" s="8"/>
      <c r="L910" s="128"/>
      <c r="Q910" s="128"/>
    </row>
    <row r="911">
      <c r="B911" s="8"/>
      <c r="C911" s="8"/>
      <c r="D911" s="8"/>
      <c r="E911" s="8"/>
      <c r="F911" s="129"/>
      <c r="G911" s="8"/>
      <c r="L911" s="128"/>
      <c r="Q911" s="128"/>
    </row>
    <row r="912">
      <c r="B912" s="8"/>
      <c r="C912" s="8"/>
      <c r="D912" s="8"/>
      <c r="E912" s="8"/>
      <c r="F912" s="129"/>
      <c r="G912" s="8"/>
      <c r="L912" s="128"/>
      <c r="Q912" s="128"/>
    </row>
    <row r="913">
      <c r="B913" s="8"/>
      <c r="C913" s="8"/>
      <c r="D913" s="8"/>
      <c r="E913" s="8"/>
      <c r="F913" s="129"/>
      <c r="G913" s="8"/>
      <c r="L913" s="128"/>
      <c r="Q913" s="128"/>
    </row>
    <row r="914">
      <c r="B914" s="8"/>
      <c r="C914" s="8"/>
      <c r="D914" s="8"/>
      <c r="E914" s="8"/>
      <c r="F914" s="129"/>
      <c r="G914" s="8"/>
      <c r="L914" s="128"/>
      <c r="Q914" s="128"/>
    </row>
    <row r="915">
      <c r="B915" s="8"/>
      <c r="C915" s="8"/>
      <c r="D915" s="8"/>
      <c r="E915" s="8"/>
      <c r="F915" s="129"/>
      <c r="G915" s="8"/>
      <c r="L915" s="128"/>
      <c r="Q915" s="128"/>
    </row>
    <row r="916">
      <c r="B916" s="8"/>
      <c r="C916" s="8"/>
      <c r="D916" s="8"/>
      <c r="E916" s="8"/>
      <c r="F916" s="129"/>
      <c r="G916" s="8"/>
      <c r="L916" s="128"/>
      <c r="Q916" s="128"/>
    </row>
    <row r="917">
      <c r="B917" s="8"/>
      <c r="C917" s="8"/>
      <c r="D917" s="8"/>
      <c r="E917" s="8"/>
      <c r="F917" s="129"/>
      <c r="G917" s="8"/>
      <c r="L917" s="128"/>
      <c r="Q917" s="128"/>
    </row>
    <row r="918">
      <c r="B918" s="8"/>
      <c r="C918" s="8"/>
      <c r="D918" s="8"/>
      <c r="E918" s="8"/>
      <c r="F918" s="129"/>
      <c r="G918" s="8"/>
      <c r="L918" s="128"/>
      <c r="Q918" s="128"/>
    </row>
    <row r="919">
      <c r="B919" s="8"/>
      <c r="C919" s="8"/>
      <c r="D919" s="8"/>
      <c r="E919" s="8"/>
      <c r="F919" s="129"/>
      <c r="G919" s="8"/>
      <c r="L919" s="128"/>
      <c r="Q919" s="128"/>
    </row>
    <row r="920">
      <c r="B920" s="8"/>
      <c r="C920" s="8"/>
      <c r="D920" s="8"/>
      <c r="E920" s="8"/>
      <c r="F920" s="129"/>
      <c r="G920" s="8"/>
      <c r="L920" s="128"/>
      <c r="Q920" s="128"/>
    </row>
    <row r="921">
      <c r="B921" s="8"/>
      <c r="C921" s="8"/>
      <c r="D921" s="8"/>
      <c r="E921" s="8"/>
      <c r="F921" s="129"/>
      <c r="G921" s="8"/>
      <c r="L921" s="128"/>
      <c r="Q921" s="128"/>
    </row>
    <row r="922">
      <c r="B922" s="8"/>
      <c r="C922" s="8"/>
      <c r="D922" s="8"/>
      <c r="E922" s="8"/>
      <c r="F922" s="129"/>
      <c r="G922" s="8"/>
      <c r="L922" s="128"/>
      <c r="Q922" s="128"/>
    </row>
    <row r="923">
      <c r="B923" s="8"/>
      <c r="C923" s="8"/>
      <c r="D923" s="8"/>
      <c r="E923" s="8"/>
      <c r="F923" s="129"/>
      <c r="G923" s="8"/>
      <c r="L923" s="128"/>
      <c r="Q923" s="128"/>
    </row>
    <row r="924">
      <c r="B924" s="8"/>
      <c r="C924" s="8"/>
      <c r="D924" s="8"/>
      <c r="E924" s="8"/>
      <c r="F924" s="129"/>
      <c r="G924" s="8"/>
      <c r="L924" s="128"/>
      <c r="Q924" s="128"/>
    </row>
    <row r="925">
      <c r="B925" s="8"/>
      <c r="C925" s="8"/>
      <c r="D925" s="8"/>
      <c r="E925" s="8"/>
      <c r="F925" s="129"/>
      <c r="G925" s="8"/>
      <c r="L925" s="128"/>
      <c r="Q925" s="128"/>
    </row>
    <row r="926">
      <c r="B926" s="8"/>
      <c r="C926" s="8"/>
      <c r="D926" s="8"/>
      <c r="E926" s="8"/>
      <c r="F926" s="129"/>
      <c r="G926" s="8"/>
      <c r="L926" s="128"/>
      <c r="Q926" s="128"/>
    </row>
    <row r="927">
      <c r="B927" s="8"/>
      <c r="C927" s="8"/>
      <c r="D927" s="8"/>
      <c r="E927" s="8"/>
      <c r="F927" s="129"/>
      <c r="G927" s="8"/>
      <c r="L927" s="128"/>
      <c r="Q927" s="128"/>
    </row>
    <row r="928">
      <c r="B928" s="8"/>
      <c r="C928" s="8"/>
      <c r="D928" s="8"/>
      <c r="E928" s="8"/>
      <c r="F928" s="129"/>
      <c r="G928" s="8"/>
      <c r="L928" s="128"/>
      <c r="Q928" s="128"/>
    </row>
    <row r="929">
      <c r="B929" s="8"/>
      <c r="C929" s="8"/>
      <c r="D929" s="8"/>
      <c r="E929" s="8"/>
      <c r="F929" s="129"/>
      <c r="G929" s="8"/>
      <c r="L929" s="128"/>
      <c r="Q929" s="128"/>
    </row>
    <row r="930">
      <c r="B930" s="8"/>
      <c r="C930" s="8"/>
      <c r="D930" s="8"/>
      <c r="E930" s="8"/>
      <c r="F930" s="129"/>
      <c r="G930" s="8"/>
      <c r="L930" s="128"/>
      <c r="Q930" s="128"/>
    </row>
    <row r="931">
      <c r="B931" s="8"/>
      <c r="C931" s="8"/>
      <c r="D931" s="8"/>
      <c r="E931" s="8"/>
      <c r="F931" s="129"/>
      <c r="G931" s="8"/>
      <c r="L931" s="128"/>
      <c r="Q931" s="128"/>
    </row>
    <row r="932">
      <c r="B932" s="8"/>
      <c r="C932" s="8"/>
      <c r="D932" s="8"/>
      <c r="E932" s="8"/>
      <c r="F932" s="129"/>
      <c r="G932" s="8"/>
      <c r="L932" s="128"/>
      <c r="Q932" s="128"/>
    </row>
    <row r="933">
      <c r="B933" s="8"/>
      <c r="C933" s="8"/>
      <c r="D933" s="8"/>
      <c r="E933" s="8"/>
      <c r="F933" s="129"/>
      <c r="G933" s="8"/>
      <c r="L933" s="128"/>
      <c r="Q933" s="128"/>
    </row>
    <row r="934">
      <c r="B934" s="8"/>
      <c r="C934" s="8"/>
      <c r="D934" s="8"/>
      <c r="E934" s="8"/>
      <c r="F934" s="129"/>
      <c r="G934" s="8"/>
      <c r="L934" s="128"/>
      <c r="Q934" s="128"/>
    </row>
    <row r="935">
      <c r="B935" s="8"/>
      <c r="C935" s="8"/>
      <c r="D935" s="8"/>
      <c r="E935" s="8"/>
      <c r="F935" s="129"/>
      <c r="G935" s="8"/>
      <c r="L935" s="128"/>
      <c r="Q935" s="128"/>
    </row>
    <row r="936">
      <c r="B936" s="8"/>
      <c r="C936" s="8"/>
      <c r="D936" s="8"/>
      <c r="E936" s="8"/>
      <c r="F936" s="129"/>
      <c r="G936" s="8"/>
      <c r="L936" s="128"/>
      <c r="Q936" s="128"/>
    </row>
    <row r="937">
      <c r="B937" s="8"/>
      <c r="C937" s="8"/>
      <c r="D937" s="8"/>
      <c r="E937" s="8"/>
      <c r="F937" s="129"/>
      <c r="G937" s="8"/>
      <c r="L937" s="128"/>
      <c r="Q937" s="128"/>
    </row>
    <row r="938">
      <c r="B938" s="8"/>
      <c r="C938" s="8"/>
      <c r="D938" s="8"/>
      <c r="E938" s="8"/>
      <c r="F938" s="129"/>
      <c r="G938" s="8"/>
      <c r="L938" s="128"/>
      <c r="Q938" s="128"/>
    </row>
    <row r="939">
      <c r="B939" s="8"/>
      <c r="C939" s="8"/>
      <c r="D939" s="8"/>
      <c r="E939" s="8"/>
      <c r="F939" s="129"/>
      <c r="G939" s="8"/>
      <c r="L939" s="128"/>
      <c r="Q939" s="128"/>
    </row>
    <row r="940">
      <c r="B940" s="8"/>
      <c r="C940" s="8"/>
      <c r="D940" s="8"/>
      <c r="E940" s="8"/>
      <c r="F940" s="129"/>
      <c r="G940" s="8"/>
      <c r="L940" s="128"/>
      <c r="Q940" s="128"/>
    </row>
    <row r="941">
      <c r="B941" s="8"/>
      <c r="C941" s="8"/>
      <c r="D941" s="8"/>
      <c r="E941" s="8"/>
      <c r="F941" s="129"/>
      <c r="G941" s="8"/>
      <c r="L941" s="128"/>
      <c r="Q941" s="128"/>
    </row>
    <row r="942">
      <c r="B942" s="8"/>
      <c r="C942" s="8"/>
      <c r="D942" s="8"/>
      <c r="E942" s="8"/>
      <c r="F942" s="129"/>
      <c r="G942" s="8"/>
      <c r="L942" s="128"/>
      <c r="Q942" s="128"/>
    </row>
    <row r="943">
      <c r="B943" s="8"/>
      <c r="C943" s="8"/>
      <c r="D943" s="8"/>
      <c r="E943" s="8"/>
      <c r="F943" s="129"/>
      <c r="G943" s="8"/>
      <c r="L943" s="128"/>
      <c r="Q943" s="128"/>
    </row>
    <row r="944">
      <c r="B944" s="8"/>
      <c r="C944" s="8"/>
      <c r="D944" s="8"/>
      <c r="E944" s="8"/>
      <c r="F944" s="129"/>
      <c r="G944" s="8"/>
      <c r="L944" s="128"/>
      <c r="Q944" s="128"/>
    </row>
    <row r="945">
      <c r="B945" s="8"/>
      <c r="C945" s="8"/>
      <c r="D945" s="8"/>
      <c r="E945" s="8"/>
      <c r="F945" s="129"/>
      <c r="G945" s="8"/>
      <c r="L945" s="128"/>
      <c r="Q945" s="128"/>
    </row>
    <row r="946">
      <c r="B946" s="8"/>
      <c r="C946" s="8"/>
      <c r="D946" s="8"/>
      <c r="E946" s="8"/>
      <c r="F946" s="129"/>
      <c r="G946" s="8"/>
      <c r="L946" s="128"/>
      <c r="Q946" s="128"/>
    </row>
    <row r="947">
      <c r="B947" s="8"/>
      <c r="C947" s="8"/>
      <c r="D947" s="8"/>
      <c r="E947" s="8"/>
      <c r="F947" s="129"/>
      <c r="G947" s="8"/>
      <c r="L947" s="128"/>
      <c r="Q947" s="128"/>
    </row>
    <row r="948">
      <c r="B948" s="8"/>
      <c r="C948" s="8"/>
      <c r="D948" s="8"/>
      <c r="E948" s="8"/>
      <c r="F948" s="129"/>
      <c r="G948" s="8"/>
      <c r="L948" s="128"/>
      <c r="Q948" s="128"/>
    </row>
    <row r="949">
      <c r="B949" s="8"/>
      <c r="C949" s="8"/>
      <c r="D949" s="8"/>
      <c r="E949" s="8"/>
      <c r="F949" s="129"/>
      <c r="G949" s="8"/>
      <c r="L949" s="128"/>
      <c r="Q949" s="128"/>
    </row>
    <row r="950">
      <c r="B950" s="8"/>
      <c r="C950" s="8"/>
      <c r="D950" s="8"/>
      <c r="E950" s="8"/>
      <c r="F950" s="129"/>
      <c r="G950" s="8"/>
      <c r="L950" s="128"/>
      <c r="Q950" s="128"/>
    </row>
    <row r="951">
      <c r="B951" s="8"/>
      <c r="C951" s="8"/>
      <c r="D951" s="8"/>
      <c r="E951" s="8"/>
      <c r="F951" s="129"/>
      <c r="G951" s="8"/>
      <c r="L951" s="128"/>
      <c r="Q951" s="128"/>
    </row>
    <row r="952">
      <c r="B952" s="8"/>
      <c r="C952" s="8"/>
      <c r="D952" s="8"/>
      <c r="E952" s="8"/>
      <c r="F952" s="129"/>
      <c r="G952" s="8"/>
      <c r="L952" s="128"/>
      <c r="Q952" s="128"/>
    </row>
    <row r="953">
      <c r="B953" s="8"/>
      <c r="C953" s="8"/>
      <c r="D953" s="8"/>
      <c r="E953" s="8"/>
      <c r="F953" s="129"/>
      <c r="G953" s="8"/>
      <c r="L953" s="128"/>
      <c r="Q953" s="128"/>
    </row>
    <row r="954">
      <c r="B954" s="8"/>
      <c r="C954" s="8"/>
      <c r="D954" s="8"/>
      <c r="E954" s="8"/>
      <c r="F954" s="129"/>
      <c r="G954" s="8"/>
      <c r="L954" s="128"/>
      <c r="Q954" s="128"/>
    </row>
    <row r="955">
      <c r="B955" s="8"/>
      <c r="C955" s="8"/>
      <c r="D955" s="8"/>
      <c r="E955" s="8"/>
      <c r="F955" s="129"/>
      <c r="G955" s="8"/>
      <c r="L955" s="128"/>
      <c r="Q955" s="128"/>
    </row>
    <row r="956">
      <c r="B956" s="8"/>
      <c r="C956" s="8"/>
      <c r="D956" s="8"/>
      <c r="E956" s="8"/>
      <c r="F956" s="129"/>
      <c r="G956" s="8"/>
      <c r="L956" s="128"/>
      <c r="Q956" s="128"/>
    </row>
    <row r="957">
      <c r="B957" s="8"/>
      <c r="C957" s="8"/>
      <c r="D957" s="8"/>
      <c r="E957" s="8"/>
      <c r="F957" s="129"/>
      <c r="G957" s="8"/>
      <c r="L957" s="128"/>
      <c r="Q957" s="128"/>
    </row>
    <row r="958">
      <c r="B958" s="8"/>
      <c r="C958" s="8"/>
      <c r="D958" s="8"/>
      <c r="E958" s="8"/>
      <c r="F958" s="129"/>
      <c r="G958" s="8"/>
      <c r="L958" s="128"/>
      <c r="Q958" s="128"/>
    </row>
    <row r="959">
      <c r="B959" s="8"/>
      <c r="C959" s="8"/>
      <c r="D959" s="8"/>
      <c r="E959" s="8"/>
      <c r="F959" s="129"/>
      <c r="G959" s="8"/>
      <c r="L959" s="128"/>
      <c r="Q959" s="128"/>
    </row>
    <row r="960">
      <c r="B960" s="8"/>
      <c r="C960" s="8"/>
      <c r="D960" s="8"/>
      <c r="E960" s="8"/>
      <c r="F960" s="129"/>
      <c r="G960" s="8"/>
      <c r="L960" s="128"/>
      <c r="Q960" s="128"/>
    </row>
    <row r="961">
      <c r="B961" s="8"/>
      <c r="C961" s="8"/>
      <c r="D961" s="8"/>
      <c r="E961" s="8"/>
      <c r="F961" s="129"/>
      <c r="G961" s="8"/>
      <c r="L961" s="128"/>
      <c r="Q961" s="128"/>
    </row>
    <row r="962">
      <c r="B962" s="8"/>
      <c r="C962" s="8"/>
      <c r="D962" s="8"/>
      <c r="E962" s="8"/>
      <c r="F962" s="129"/>
      <c r="G962" s="8"/>
      <c r="L962" s="128"/>
      <c r="Q962" s="128"/>
    </row>
    <row r="963">
      <c r="B963" s="8"/>
      <c r="C963" s="8"/>
      <c r="D963" s="8"/>
      <c r="E963" s="8"/>
      <c r="F963" s="129"/>
      <c r="G963" s="8"/>
      <c r="L963" s="128"/>
      <c r="Q963" s="128"/>
    </row>
    <row r="964">
      <c r="B964" s="8"/>
      <c r="C964" s="8"/>
      <c r="D964" s="8"/>
      <c r="E964" s="8"/>
      <c r="F964" s="129"/>
      <c r="G964" s="8"/>
      <c r="L964" s="128"/>
      <c r="Q964" s="128"/>
    </row>
    <row r="965">
      <c r="B965" s="8"/>
      <c r="C965" s="8"/>
      <c r="D965" s="8"/>
      <c r="E965" s="8"/>
      <c r="F965" s="129"/>
      <c r="G965" s="8"/>
      <c r="L965" s="128"/>
      <c r="Q965" s="128"/>
    </row>
    <row r="966">
      <c r="B966" s="8"/>
      <c r="C966" s="8"/>
      <c r="D966" s="8"/>
      <c r="E966" s="8"/>
      <c r="F966" s="129"/>
      <c r="G966" s="8"/>
      <c r="L966" s="128"/>
      <c r="Q966" s="128"/>
    </row>
    <row r="967">
      <c r="B967" s="8"/>
      <c r="C967" s="8"/>
      <c r="D967" s="8"/>
      <c r="E967" s="8"/>
      <c r="F967" s="129"/>
      <c r="G967" s="8"/>
      <c r="L967" s="128"/>
      <c r="Q967" s="128"/>
    </row>
    <row r="968">
      <c r="B968" s="8"/>
      <c r="C968" s="8"/>
      <c r="D968" s="8"/>
      <c r="E968" s="8"/>
      <c r="F968" s="129"/>
      <c r="G968" s="8"/>
      <c r="L968" s="128"/>
      <c r="Q968" s="128"/>
    </row>
    <row r="969">
      <c r="B969" s="8"/>
      <c r="C969" s="8"/>
      <c r="D969" s="8"/>
      <c r="E969" s="8"/>
      <c r="F969" s="129"/>
      <c r="G969" s="8"/>
      <c r="L969" s="128"/>
      <c r="Q969" s="128"/>
    </row>
    <row r="970">
      <c r="B970" s="8"/>
      <c r="C970" s="8"/>
      <c r="D970" s="8"/>
      <c r="E970" s="8"/>
      <c r="F970" s="129"/>
      <c r="G970" s="8"/>
      <c r="L970" s="128"/>
      <c r="Q970" s="128"/>
    </row>
    <row r="971">
      <c r="B971" s="8"/>
      <c r="C971" s="8"/>
      <c r="D971" s="8"/>
      <c r="E971" s="8"/>
      <c r="F971" s="129"/>
      <c r="G971" s="8"/>
      <c r="L971" s="128"/>
      <c r="Q971" s="128"/>
    </row>
    <row r="972">
      <c r="B972" s="8"/>
      <c r="C972" s="8"/>
      <c r="D972" s="8"/>
      <c r="E972" s="8"/>
      <c r="F972" s="129"/>
      <c r="G972" s="8"/>
      <c r="L972" s="128"/>
      <c r="Q972" s="128"/>
    </row>
    <row r="973">
      <c r="B973" s="8"/>
      <c r="C973" s="8"/>
      <c r="D973" s="8"/>
      <c r="E973" s="8"/>
      <c r="F973" s="129"/>
      <c r="G973" s="8"/>
      <c r="L973" s="128"/>
      <c r="Q973" s="128"/>
    </row>
    <row r="974">
      <c r="B974" s="8"/>
      <c r="C974" s="8"/>
      <c r="D974" s="8"/>
      <c r="E974" s="8"/>
      <c r="F974" s="129"/>
      <c r="G974" s="8"/>
      <c r="L974" s="128"/>
      <c r="Q974" s="128"/>
    </row>
    <row r="975">
      <c r="B975" s="8"/>
      <c r="C975" s="8"/>
      <c r="D975" s="8"/>
      <c r="E975" s="8"/>
      <c r="F975" s="129"/>
      <c r="G975" s="8"/>
      <c r="L975" s="128"/>
      <c r="Q975" s="128"/>
    </row>
    <row r="976">
      <c r="B976" s="8"/>
      <c r="C976" s="8"/>
      <c r="D976" s="8"/>
      <c r="E976" s="8"/>
      <c r="F976" s="129"/>
      <c r="G976" s="8"/>
      <c r="L976" s="128"/>
      <c r="Q976" s="128"/>
    </row>
    <row r="977">
      <c r="B977" s="8"/>
      <c r="C977" s="8"/>
      <c r="D977" s="8"/>
      <c r="E977" s="8"/>
      <c r="F977" s="129"/>
      <c r="G977" s="8"/>
      <c r="L977" s="128"/>
      <c r="Q977" s="128"/>
    </row>
    <row r="978">
      <c r="B978" s="8"/>
      <c r="C978" s="8"/>
      <c r="D978" s="8"/>
      <c r="E978" s="8"/>
      <c r="F978" s="129"/>
      <c r="G978" s="8"/>
      <c r="L978" s="128"/>
      <c r="Q978" s="128"/>
    </row>
    <row r="979">
      <c r="B979" s="8"/>
      <c r="C979" s="8"/>
      <c r="D979" s="8"/>
      <c r="E979" s="8"/>
      <c r="F979" s="129"/>
      <c r="G979" s="8"/>
      <c r="L979" s="128"/>
      <c r="Q979" s="128"/>
    </row>
    <row r="980">
      <c r="B980" s="8"/>
      <c r="C980" s="8"/>
      <c r="D980" s="8"/>
      <c r="E980" s="8"/>
      <c r="F980" s="129"/>
      <c r="G980" s="8"/>
      <c r="L980" s="128"/>
      <c r="Q980" s="128"/>
    </row>
    <row r="981">
      <c r="B981" s="8"/>
      <c r="C981" s="8"/>
      <c r="D981" s="8"/>
      <c r="E981" s="8"/>
      <c r="F981" s="129"/>
      <c r="G981" s="8"/>
      <c r="L981" s="128"/>
      <c r="Q981" s="128"/>
    </row>
    <row r="982">
      <c r="B982" s="8"/>
      <c r="C982" s="8"/>
      <c r="D982" s="8"/>
      <c r="E982" s="8"/>
      <c r="F982" s="129"/>
      <c r="G982" s="8"/>
      <c r="L982" s="128"/>
      <c r="Q982" s="128"/>
    </row>
    <row r="983">
      <c r="B983" s="8"/>
      <c r="C983" s="8"/>
      <c r="D983" s="8"/>
      <c r="E983" s="8"/>
      <c r="F983" s="129"/>
      <c r="G983" s="8"/>
      <c r="L983" s="128"/>
      <c r="Q983" s="128"/>
    </row>
    <row r="984">
      <c r="B984" s="8"/>
      <c r="C984" s="8"/>
      <c r="D984" s="8"/>
      <c r="E984" s="8"/>
      <c r="F984" s="129"/>
      <c r="G984" s="8"/>
      <c r="L984" s="128"/>
      <c r="Q984" s="128"/>
    </row>
    <row r="985">
      <c r="B985" s="8"/>
      <c r="C985" s="8"/>
      <c r="D985" s="8"/>
      <c r="E985" s="8"/>
      <c r="F985" s="129"/>
      <c r="G985" s="8"/>
      <c r="L985" s="128"/>
      <c r="Q985" s="128"/>
    </row>
    <row r="986">
      <c r="B986" s="8"/>
      <c r="C986" s="8"/>
      <c r="D986" s="8"/>
      <c r="E986" s="8"/>
      <c r="F986" s="129"/>
      <c r="G986" s="8"/>
      <c r="L986" s="128"/>
      <c r="Q986" s="128"/>
    </row>
    <row r="987">
      <c r="B987" s="8"/>
      <c r="C987" s="8"/>
      <c r="D987" s="8"/>
      <c r="E987" s="8"/>
      <c r="F987" s="129"/>
      <c r="G987" s="8"/>
      <c r="L987" s="128"/>
      <c r="Q987" s="128"/>
    </row>
    <row r="988">
      <c r="B988" s="8"/>
      <c r="C988" s="8"/>
      <c r="D988" s="8"/>
      <c r="E988" s="8"/>
      <c r="F988" s="129"/>
      <c r="G988" s="8"/>
      <c r="L988" s="128"/>
      <c r="Q988" s="128"/>
    </row>
    <row r="989">
      <c r="B989" s="8"/>
      <c r="C989" s="8"/>
      <c r="D989" s="8"/>
      <c r="E989" s="8"/>
      <c r="F989" s="129"/>
      <c r="G989" s="8"/>
      <c r="L989" s="128"/>
      <c r="Q989" s="128"/>
    </row>
    <row r="990">
      <c r="B990" s="8"/>
      <c r="C990" s="8"/>
      <c r="D990" s="8"/>
      <c r="E990" s="8"/>
      <c r="F990" s="129"/>
      <c r="G990" s="8"/>
      <c r="L990" s="128"/>
      <c r="Q990" s="128"/>
    </row>
    <row r="991">
      <c r="B991" s="8"/>
      <c r="C991" s="8"/>
      <c r="D991" s="8"/>
      <c r="E991" s="8"/>
      <c r="F991" s="129"/>
      <c r="G991" s="8"/>
      <c r="L991" s="128"/>
      <c r="Q991" s="128"/>
    </row>
    <row r="992">
      <c r="B992" s="8"/>
      <c r="C992" s="8"/>
      <c r="D992" s="8"/>
      <c r="E992" s="8"/>
      <c r="F992" s="129"/>
      <c r="G992" s="8"/>
      <c r="L992" s="128"/>
      <c r="Q992" s="128"/>
    </row>
    <row r="993">
      <c r="B993" s="8"/>
      <c r="C993" s="8"/>
      <c r="D993" s="8"/>
      <c r="E993" s="8"/>
      <c r="F993" s="129"/>
      <c r="G993" s="8"/>
      <c r="L993" s="128"/>
      <c r="Q993" s="128"/>
    </row>
    <row r="994">
      <c r="B994" s="8"/>
      <c r="C994" s="8"/>
      <c r="D994" s="8"/>
      <c r="E994" s="8"/>
      <c r="F994" s="129"/>
      <c r="G994" s="8"/>
      <c r="L994" s="128"/>
      <c r="Q994" s="128"/>
    </row>
    <row r="995">
      <c r="B995" s="8"/>
      <c r="C995" s="8"/>
      <c r="D995" s="8"/>
      <c r="E995" s="8"/>
      <c r="F995" s="129"/>
      <c r="G995" s="8"/>
      <c r="L995" s="128"/>
      <c r="Q995" s="128"/>
    </row>
    <row r="996">
      <c r="B996" s="8"/>
      <c r="C996" s="8"/>
      <c r="D996" s="8"/>
      <c r="E996" s="8"/>
      <c r="F996" s="129"/>
      <c r="G996" s="8"/>
      <c r="L996" s="128"/>
      <c r="Q996" s="128"/>
    </row>
    <row r="997">
      <c r="B997" s="8"/>
      <c r="C997" s="8"/>
      <c r="D997" s="8"/>
      <c r="E997" s="8"/>
      <c r="F997" s="129"/>
      <c r="G997" s="8"/>
      <c r="L997" s="128"/>
      <c r="Q997" s="128"/>
    </row>
    <row r="998">
      <c r="B998" s="8"/>
      <c r="C998" s="8"/>
      <c r="D998" s="8"/>
      <c r="E998" s="8"/>
      <c r="F998" s="129"/>
      <c r="G998" s="8"/>
      <c r="L998" s="128"/>
      <c r="Q998" s="128"/>
    </row>
    <row r="999">
      <c r="B999" s="8"/>
      <c r="C999" s="8"/>
      <c r="D999" s="8"/>
      <c r="E999" s="8"/>
      <c r="F999" s="129"/>
      <c r="G999" s="8"/>
      <c r="L999" s="128"/>
      <c r="Q999" s="128"/>
    </row>
    <row r="1000">
      <c r="B1000" s="8"/>
      <c r="C1000" s="8"/>
      <c r="D1000" s="8"/>
      <c r="E1000" s="8"/>
      <c r="F1000" s="129"/>
      <c r="G1000" s="8"/>
      <c r="L1000" s="128"/>
      <c r="Q1000" s="128"/>
    </row>
    <row r="1001">
      <c r="B1001" s="8"/>
      <c r="C1001" s="8"/>
      <c r="D1001" s="8"/>
      <c r="E1001" s="8"/>
      <c r="F1001" s="129"/>
      <c r="G1001" s="8"/>
      <c r="L1001" s="128"/>
      <c r="Q1001" s="128"/>
    </row>
    <row r="1002">
      <c r="B1002" s="8"/>
      <c r="C1002" s="8"/>
      <c r="D1002" s="8"/>
      <c r="E1002" s="8"/>
      <c r="F1002" s="129"/>
      <c r="G1002" s="8"/>
      <c r="L1002" s="128"/>
      <c r="Q1002" s="128"/>
    </row>
    <row r="1003">
      <c r="B1003" s="8"/>
      <c r="C1003" s="8"/>
      <c r="D1003" s="8"/>
      <c r="E1003" s="8"/>
      <c r="F1003" s="129"/>
      <c r="G1003" s="8"/>
      <c r="L1003" s="128"/>
      <c r="Q1003" s="128"/>
    </row>
    <row r="1004">
      <c r="B1004" s="8"/>
      <c r="C1004" s="8"/>
      <c r="D1004" s="8"/>
      <c r="E1004" s="8"/>
      <c r="F1004" s="129"/>
      <c r="G1004" s="8"/>
      <c r="L1004" s="128"/>
      <c r="Q1004" s="128"/>
    </row>
    <row r="1005">
      <c r="B1005" s="8"/>
      <c r="C1005" s="8"/>
      <c r="D1005" s="8"/>
      <c r="E1005" s="8"/>
      <c r="F1005" s="129"/>
      <c r="G1005" s="8"/>
      <c r="L1005" s="128"/>
      <c r="Q1005" s="128"/>
    </row>
    <row r="1006">
      <c r="B1006" s="8"/>
      <c r="C1006" s="8"/>
      <c r="D1006" s="8"/>
      <c r="E1006" s="8"/>
      <c r="F1006" s="129"/>
      <c r="G1006" s="8"/>
      <c r="L1006" s="128"/>
      <c r="Q1006" s="128"/>
    </row>
    <row r="1007">
      <c r="B1007" s="8"/>
      <c r="C1007" s="8"/>
      <c r="D1007" s="8"/>
      <c r="E1007" s="8"/>
      <c r="F1007" s="129"/>
      <c r="G1007" s="8"/>
      <c r="L1007" s="128"/>
      <c r="Q1007" s="128"/>
    </row>
    <row r="1008">
      <c r="B1008" s="8"/>
      <c r="C1008" s="8"/>
      <c r="D1008" s="8"/>
      <c r="E1008" s="8"/>
      <c r="F1008" s="129"/>
      <c r="G1008" s="8"/>
      <c r="L1008" s="128"/>
      <c r="Q1008" s="128"/>
    </row>
    <row r="1009">
      <c r="B1009" s="8"/>
      <c r="C1009" s="8"/>
      <c r="D1009" s="8"/>
      <c r="E1009" s="8"/>
      <c r="F1009" s="129"/>
      <c r="G1009" s="8"/>
      <c r="L1009" s="128"/>
      <c r="Q1009" s="128"/>
    </row>
    <row r="1010">
      <c r="B1010" s="8"/>
      <c r="C1010" s="8"/>
      <c r="D1010" s="8"/>
      <c r="E1010" s="8"/>
      <c r="F1010" s="129"/>
      <c r="G1010" s="8"/>
      <c r="L1010" s="128"/>
      <c r="Q1010" s="128"/>
    </row>
    <row r="1011">
      <c r="B1011" s="8"/>
      <c r="C1011" s="8"/>
      <c r="D1011" s="8"/>
      <c r="E1011" s="8"/>
      <c r="F1011" s="129"/>
      <c r="G1011" s="8"/>
      <c r="L1011" s="128"/>
      <c r="Q1011" s="128"/>
    </row>
    <row r="1012">
      <c r="B1012" s="8"/>
      <c r="C1012" s="8"/>
      <c r="D1012" s="8"/>
      <c r="E1012" s="8"/>
      <c r="F1012" s="129"/>
      <c r="G1012" s="8"/>
      <c r="L1012" s="128"/>
      <c r="Q1012" s="128"/>
    </row>
    <row r="1013">
      <c r="B1013" s="8"/>
      <c r="C1013" s="8"/>
      <c r="D1013" s="8"/>
      <c r="E1013" s="8"/>
      <c r="F1013" s="129"/>
      <c r="G1013" s="8"/>
      <c r="L1013" s="128"/>
      <c r="Q1013" s="128"/>
    </row>
    <row r="1014">
      <c r="B1014" s="8"/>
      <c r="C1014" s="8"/>
      <c r="D1014" s="8"/>
      <c r="E1014" s="8"/>
      <c r="F1014" s="129"/>
      <c r="G1014" s="8"/>
      <c r="L1014" s="128"/>
      <c r="Q1014" s="128"/>
    </row>
    <row r="1015">
      <c r="B1015" s="8"/>
      <c r="C1015" s="8"/>
      <c r="D1015" s="8"/>
      <c r="E1015" s="8"/>
      <c r="F1015" s="129"/>
      <c r="G1015" s="8"/>
      <c r="L1015" s="128"/>
      <c r="Q1015" s="128"/>
    </row>
    <row r="1016">
      <c r="B1016" s="8"/>
      <c r="C1016" s="8"/>
      <c r="D1016" s="8"/>
      <c r="E1016" s="8"/>
      <c r="F1016" s="129"/>
      <c r="G1016" s="8"/>
      <c r="L1016" s="128"/>
      <c r="Q1016" s="128"/>
    </row>
    <row r="1017">
      <c r="B1017" s="8"/>
      <c r="C1017" s="8"/>
      <c r="D1017" s="8"/>
      <c r="E1017" s="8"/>
      <c r="F1017" s="129"/>
      <c r="G1017" s="8"/>
      <c r="L1017" s="128"/>
      <c r="Q1017" s="128"/>
    </row>
    <row r="1018">
      <c r="B1018" s="8"/>
      <c r="C1018" s="8"/>
      <c r="D1018" s="8"/>
      <c r="E1018" s="8"/>
      <c r="F1018" s="129"/>
      <c r="G1018" s="8"/>
      <c r="L1018" s="128"/>
      <c r="Q1018" s="128"/>
    </row>
    <row r="1019">
      <c r="B1019" s="8"/>
      <c r="C1019" s="8"/>
      <c r="D1019" s="8"/>
      <c r="E1019" s="8"/>
      <c r="F1019" s="129"/>
      <c r="G1019" s="8"/>
      <c r="L1019" s="128"/>
      <c r="Q1019" s="128"/>
    </row>
    <row r="1020">
      <c r="B1020" s="8"/>
      <c r="C1020" s="8"/>
      <c r="D1020" s="8"/>
      <c r="E1020" s="8"/>
      <c r="F1020" s="129"/>
      <c r="G1020" s="8"/>
      <c r="L1020" s="128"/>
      <c r="Q1020" s="128"/>
    </row>
    <row r="1021">
      <c r="B1021" s="8"/>
      <c r="C1021" s="8"/>
      <c r="D1021" s="8"/>
      <c r="E1021" s="8"/>
      <c r="F1021" s="129"/>
      <c r="G1021" s="8"/>
      <c r="L1021" s="128"/>
      <c r="Q1021" s="128"/>
    </row>
    <row r="1022">
      <c r="B1022" s="8"/>
      <c r="C1022" s="8"/>
      <c r="D1022" s="8"/>
      <c r="E1022" s="8"/>
      <c r="F1022" s="129"/>
      <c r="G1022" s="8"/>
      <c r="L1022" s="128"/>
      <c r="Q1022" s="128"/>
    </row>
    <row r="1023">
      <c r="B1023" s="8"/>
      <c r="C1023" s="8"/>
      <c r="D1023" s="8"/>
      <c r="E1023" s="8"/>
      <c r="F1023" s="129"/>
      <c r="G1023" s="8"/>
      <c r="L1023" s="128"/>
      <c r="Q1023" s="128"/>
    </row>
    <row r="1024">
      <c r="B1024" s="8"/>
      <c r="C1024" s="8"/>
      <c r="D1024" s="8"/>
      <c r="E1024" s="8"/>
      <c r="F1024" s="129"/>
      <c r="G1024" s="8"/>
      <c r="L1024" s="128"/>
      <c r="Q1024" s="128"/>
    </row>
    <row r="1025">
      <c r="B1025" s="8"/>
      <c r="C1025" s="8"/>
      <c r="D1025" s="8"/>
      <c r="E1025" s="8"/>
      <c r="F1025" s="129"/>
      <c r="G1025" s="8"/>
      <c r="L1025" s="128"/>
      <c r="Q1025" s="128"/>
    </row>
    <row r="1026">
      <c r="B1026" s="8"/>
      <c r="C1026" s="8"/>
      <c r="D1026" s="8"/>
      <c r="E1026" s="8"/>
      <c r="F1026" s="129"/>
      <c r="G1026" s="8"/>
      <c r="L1026" s="128"/>
      <c r="Q1026" s="128"/>
    </row>
    <row r="1027">
      <c r="B1027" s="8"/>
      <c r="C1027" s="8"/>
      <c r="D1027" s="8"/>
      <c r="E1027" s="8"/>
      <c r="F1027" s="129"/>
      <c r="G1027" s="8"/>
      <c r="L1027" s="128"/>
      <c r="Q1027" s="128"/>
    </row>
    <row r="1028">
      <c r="B1028" s="8"/>
      <c r="C1028" s="8"/>
      <c r="D1028" s="8"/>
      <c r="E1028" s="8"/>
      <c r="F1028" s="129"/>
      <c r="G1028" s="8"/>
      <c r="L1028" s="128"/>
      <c r="Q1028" s="128"/>
    </row>
    <row r="1029">
      <c r="B1029" s="8"/>
      <c r="C1029" s="8"/>
      <c r="D1029" s="8"/>
      <c r="E1029" s="8"/>
      <c r="F1029" s="129"/>
      <c r="G1029" s="8"/>
      <c r="L1029" s="128"/>
      <c r="Q1029" s="128"/>
    </row>
  </sheetData>
  <mergeCells count="460">
    <mergeCell ref="N56:O56"/>
    <mergeCell ref="N57:O57"/>
    <mergeCell ref="N58:O58"/>
    <mergeCell ref="M59:M60"/>
    <mergeCell ref="N59:O59"/>
    <mergeCell ref="N60:O60"/>
    <mergeCell ref="R57:S57"/>
    <mergeCell ref="R58:S58"/>
    <mergeCell ref="R59:S59"/>
    <mergeCell ref="R60:S60"/>
    <mergeCell ref="M62:V63"/>
    <mergeCell ref="M65:P65"/>
    <mergeCell ref="N66:O66"/>
    <mergeCell ref="R32:S32"/>
    <mergeCell ref="R33:S33"/>
    <mergeCell ref="R34:S34"/>
    <mergeCell ref="R35:S35"/>
    <mergeCell ref="R36:S36"/>
    <mergeCell ref="R37:S37"/>
    <mergeCell ref="R38:S38"/>
    <mergeCell ref="R39:S39"/>
    <mergeCell ref="N28:O28"/>
    <mergeCell ref="R28:S28"/>
    <mergeCell ref="N29:O29"/>
    <mergeCell ref="R29:S29"/>
    <mergeCell ref="N30:O30"/>
    <mergeCell ref="R30:S30"/>
    <mergeCell ref="R31:S31"/>
    <mergeCell ref="N31:O31"/>
    <mergeCell ref="N32:O32"/>
    <mergeCell ref="N33:O33"/>
    <mergeCell ref="N34:O34"/>
    <mergeCell ref="N35:O35"/>
    <mergeCell ref="N36:O36"/>
    <mergeCell ref="M38:M39"/>
    <mergeCell ref="N39:O39"/>
    <mergeCell ref="N37:O37"/>
    <mergeCell ref="N38:O38"/>
    <mergeCell ref="M41:V42"/>
    <mergeCell ref="M44:V45"/>
    <mergeCell ref="M47:P47"/>
    <mergeCell ref="R47:S47"/>
    <mergeCell ref="R48:S48"/>
    <mergeCell ref="R51:S51"/>
    <mergeCell ref="R52:S52"/>
    <mergeCell ref="R65:S65"/>
    <mergeCell ref="R66:S66"/>
    <mergeCell ref="N67:O67"/>
    <mergeCell ref="R67:S67"/>
    <mergeCell ref="G72:H72"/>
    <mergeCell ref="G73:H73"/>
    <mergeCell ref="G74:H74"/>
    <mergeCell ref="G75:H75"/>
    <mergeCell ref="G76:H76"/>
    <mergeCell ref="G77:H77"/>
    <mergeCell ref="G78:H78"/>
    <mergeCell ref="C73:D73"/>
    <mergeCell ref="C74:D74"/>
    <mergeCell ref="C75:D75"/>
    <mergeCell ref="C76:D76"/>
    <mergeCell ref="B77:B78"/>
    <mergeCell ref="C77:D77"/>
    <mergeCell ref="C78:D78"/>
    <mergeCell ref="G67:H67"/>
    <mergeCell ref="G68:H68"/>
    <mergeCell ref="N68:O68"/>
    <mergeCell ref="R68:S68"/>
    <mergeCell ref="B62:K63"/>
    <mergeCell ref="B65:E65"/>
    <mergeCell ref="G65:H65"/>
    <mergeCell ref="C66:D66"/>
    <mergeCell ref="G66:H66"/>
    <mergeCell ref="C67:D67"/>
    <mergeCell ref="C68:D68"/>
    <mergeCell ref="C69:D69"/>
    <mergeCell ref="G69:H69"/>
    <mergeCell ref="N69:O69"/>
    <mergeCell ref="R69:S69"/>
    <mergeCell ref="G70:H70"/>
    <mergeCell ref="N70:O70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C70:D70"/>
    <mergeCell ref="C71:D71"/>
    <mergeCell ref="G71:H71"/>
    <mergeCell ref="N71:O71"/>
    <mergeCell ref="C72:D72"/>
    <mergeCell ref="N72:O72"/>
    <mergeCell ref="N73:O73"/>
    <mergeCell ref="N74:O74"/>
    <mergeCell ref="N75:O75"/>
    <mergeCell ref="N76:O76"/>
    <mergeCell ref="M77:M78"/>
    <mergeCell ref="N77:O77"/>
    <mergeCell ref="N78:O78"/>
    <mergeCell ref="M80:V81"/>
    <mergeCell ref="N90:O90"/>
    <mergeCell ref="R90:S90"/>
    <mergeCell ref="B80:K81"/>
    <mergeCell ref="B83:K84"/>
    <mergeCell ref="B86:E86"/>
    <mergeCell ref="G86:H86"/>
    <mergeCell ref="C87:D87"/>
    <mergeCell ref="G87:H87"/>
    <mergeCell ref="G88:H88"/>
    <mergeCell ref="G91:H91"/>
    <mergeCell ref="G92:H92"/>
    <mergeCell ref="C88:D88"/>
    <mergeCell ref="C89:D89"/>
    <mergeCell ref="G89:H89"/>
    <mergeCell ref="C90:D90"/>
    <mergeCell ref="G90:H90"/>
    <mergeCell ref="C91:D91"/>
    <mergeCell ref="C92:D92"/>
    <mergeCell ref="C96:D96"/>
    <mergeCell ref="C97:D97"/>
    <mergeCell ref="B98:B99"/>
    <mergeCell ref="C98:D98"/>
    <mergeCell ref="C99:D99"/>
    <mergeCell ref="C93:D93"/>
    <mergeCell ref="G93:H93"/>
    <mergeCell ref="C94:D94"/>
    <mergeCell ref="G94:H94"/>
    <mergeCell ref="C95:D95"/>
    <mergeCell ref="G95:H95"/>
    <mergeCell ref="G96:H96"/>
    <mergeCell ref="G107:H107"/>
    <mergeCell ref="G108:H108"/>
    <mergeCell ref="G97:H97"/>
    <mergeCell ref="G98:H98"/>
    <mergeCell ref="G99:H99"/>
    <mergeCell ref="B101:K102"/>
    <mergeCell ref="B104:K105"/>
    <mergeCell ref="B107:E107"/>
    <mergeCell ref="C108:D108"/>
    <mergeCell ref="N115:O115"/>
    <mergeCell ref="N116:O116"/>
    <mergeCell ref="N117:O117"/>
    <mergeCell ref="N118:O118"/>
    <mergeCell ref="M119:M120"/>
    <mergeCell ref="N119:O119"/>
    <mergeCell ref="N120:O120"/>
    <mergeCell ref="N112:O112"/>
    <mergeCell ref="R112:S112"/>
    <mergeCell ref="N113:O113"/>
    <mergeCell ref="R113:S113"/>
    <mergeCell ref="N114:O114"/>
    <mergeCell ref="R114:S114"/>
    <mergeCell ref="R115:S115"/>
    <mergeCell ref="R116:S116"/>
    <mergeCell ref="R117:S117"/>
    <mergeCell ref="R118:S118"/>
    <mergeCell ref="R119:S119"/>
    <mergeCell ref="R120:S120"/>
    <mergeCell ref="M122:V123"/>
    <mergeCell ref="R126:S126"/>
    <mergeCell ref="R129:S129"/>
    <mergeCell ref="R130:S130"/>
    <mergeCell ref="M126:P126"/>
    <mergeCell ref="N127:O127"/>
    <mergeCell ref="R127:S127"/>
    <mergeCell ref="N128:O128"/>
    <mergeCell ref="R128:S128"/>
    <mergeCell ref="N129:O129"/>
    <mergeCell ref="N130:O130"/>
    <mergeCell ref="N134:O134"/>
    <mergeCell ref="N135:O135"/>
    <mergeCell ref="N136:O136"/>
    <mergeCell ref="N137:O137"/>
    <mergeCell ref="M138:M139"/>
    <mergeCell ref="N138:O138"/>
    <mergeCell ref="N139:O139"/>
    <mergeCell ref="R135:S135"/>
    <mergeCell ref="R136:S136"/>
    <mergeCell ref="R137:S137"/>
    <mergeCell ref="R138:S138"/>
    <mergeCell ref="R139:S139"/>
    <mergeCell ref="M141:V142"/>
    <mergeCell ref="N131:O131"/>
    <mergeCell ref="R131:S131"/>
    <mergeCell ref="N132:O132"/>
    <mergeCell ref="R132:S132"/>
    <mergeCell ref="N133:O133"/>
    <mergeCell ref="R133:S133"/>
    <mergeCell ref="R134:S134"/>
    <mergeCell ref="R88:S88"/>
    <mergeCell ref="R89:S89"/>
    <mergeCell ref="M83:V84"/>
    <mergeCell ref="M86:P86"/>
    <mergeCell ref="R86:S86"/>
    <mergeCell ref="N87:O87"/>
    <mergeCell ref="R87:S87"/>
    <mergeCell ref="N88:O88"/>
    <mergeCell ref="N89:O89"/>
    <mergeCell ref="N94:O94"/>
    <mergeCell ref="N95:O95"/>
    <mergeCell ref="N96:O96"/>
    <mergeCell ref="N97:O97"/>
    <mergeCell ref="M98:M99"/>
    <mergeCell ref="N98:O98"/>
    <mergeCell ref="N99:O99"/>
    <mergeCell ref="N91:O91"/>
    <mergeCell ref="R91:S91"/>
    <mergeCell ref="N92:O92"/>
    <mergeCell ref="R92:S92"/>
    <mergeCell ref="N93:O93"/>
    <mergeCell ref="R93:S93"/>
    <mergeCell ref="R94:S94"/>
    <mergeCell ref="R95:S95"/>
    <mergeCell ref="R96:S96"/>
    <mergeCell ref="R97:S97"/>
    <mergeCell ref="R98:S98"/>
    <mergeCell ref="R99:S99"/>
    <mergeCell ref="M101:V105"/>
    <mergeCell ref="R107:S107"/>
    <mergeCell ref="R110:S110"/>
    <mergeCell ref="R111:S111"/>
    <mergeCell ref="M107:P107"/>
    <mergeCell ref="N108:O108"/>
    <mergeCell ref="R108:S108"/>
    <mergeCell ref="N109:O109"/>
    <mergeCell ref="R109:S109"/>
    <mergeCell ref="N110:O110"/>
    <mergeCell ref="N111:O111"/>
    <mergeCell ref="C129:D129"/>
    <mergeCell ref="C130:D130"/>
    <mergeCell ref="G130:H130"/>
    <mergeCell ref="C131:D131"/>
    <mergeCell ref="G131:H131"/>
    <mergeCell ref="C132:D132"/>
    <mergeCell ref="C133:D133"/>
    <mergeCell ref="C134:D134"/>
    <mergeCell ref="G134:H134"/>
    <mergeCell ref="C135:D135"/>
    <mergeCell ref="G135:H135"/>
    <mergeCell ref="C136:D136"/>
    <mergeCell ref="G136:H136"/>
    <mergeCell ref="G137:H137"/>
    <mergeCell ref="G153:H153"/>
    <mergeCell ref="G154:H154"/>
    <mergeCell ref="B150:E150"/>
    <mergeCell ref="C151:D151"/>
    <mergeCell ref="G151:H151"/>
    <mergeCell ref="C152:D152"/>
    <mergeCell ref="G152:H152"/>
    <mergeCell ref="C153:D153"/>
    <mergeCell ref="C154:D154"/>
    <mergeCell ref="C158:D158"/>
    <mergeCell ref="C159:D159"/>
    <mergeCell ref="C160:D160"/>
    <mergeCell ref="C161:D161"/>
    <mergeCell ref="B162:B163"/>
    <mergeCell ref="C162:D162"/>
    <mergeCell ref="C163:D163"/>
    <mergeCell ref="G159:H159"/>
    <mergeCell ref="G160:H160"/>
    <mergeCell ref="G161:H161"/>
    <mergeCell ref="G162:H162"/>
    <mergeCell ref="G163:H163"/>
    <mergeCell ref="B165:K166"/>
    <mergeCell ref="C155:D155"/>
    <mergeCell ref="G155:H155"/>
    <mergeCell ref="C156:D156"/>
    <mergeCell ref="G156:H156"/>
    <mergeCell ref="C157:D157"/>
    <mergeCell ref="G157:H157"/>
    <mergeCell ref="G158:H158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C109:D109"/>
    <mergeCell ref="G109:H109"/>
    <mergeCell ref="C110:D110"/>
    <mergeCell ref="G110:H110"/>
    <mergeCell ref="C111:D111"/>
    <mergeCell ref="G111:H111"/>
    <mergeCell ref="G112:H112"/>
    <mergeCell ref="C112:D112"/>
    <mergeCell ref="C113:D113"/>
    <mergeCell ref="C114:D114"/>
    <mergeCell ref="C115:D115"/>
    <mergeCell ref="C116:D116"/>
    <mergeCell ref="C117:D117"/>
    <mergeCell ref="B119:B120"/>
    <mergeCell ref="C120:D120"/>
    <mergeCell ref="C118:D118"/>
    <mergeCell ref="C119:D119"/>
    <mergeCell ref="B122:K123"/>
    <mergeCell ref="B125:K126"/>
    <mergeCell ref="B128:E128"/>
    <mergeCell ref="G128:H128"/>
    <mergeCell ref="G129:H129"/>
    <mergeCell ref="G132:H132"/>
    <mergeCell ref="G133:H133"/>
    <mergeCell ref="C137:D137"/>
    <mergeCell ref="C138:D138"/>
    <mergeCell ref="C139:D139"/>
    <mergeCell ref="B140:B141"/>
    <mergeCell ref="C140:D140"/>
    <mergeCell ref="C141:D141"/>
    <mergeCell ref="G138:H138"/>
    <mergeCell ref="G139:H139"/>
    <mergeCell ref="G140:H140"/>
    <mergeCell ref="G141:H141"/>
    <mergeCell ref="B143:K144"/>
    <mergeCell ref="B147:K148"/>
    <mergeCell ref="G150:H150"/>
    <mergeCell ref="C6:D6"/>
    <mergeCell ref="C7:D7"/>
    <mergeCell ref="G7:H7"/>
    <mergeCell ref="C8:D8"/>
    <mergeCell ref="G8:H8"/>
    <mergeCell ref="C9:D9"/>
    <mergeCell ref="C10:D10"/>
    <mergeCell ref="B17:B18"/>
    <mergeCell ref="C17:D17"/>
    <mergeCell ref="G17:H17"/>
    <mergeCell ref="C18:D18"/>
    <mergeCell ref="G18:H18"/>
    <mergeCell ref="C11:D11"/>
    <mergeCell ref="G11:H11"/>
    <mergeCell ref="C12:D12"/>
    <mergeCell ref="G12:H12"/>
    <mergeCell ref="C13:D13"/>
    <mergeCell ref="G13:H13"/>
    <mergeCell ref="G14:H14"/>
    <mergeCell ref="R17:S17"/>
    <mergeCell ref="R18:S18"/>
    <mergeCell ref="R10:S10"/>
    <mergeCell ref="R11:S11"/>
    <mergeCell ref="R12:S12"/>
    <mergeCell ref="R13:S13"/>
    <mergeCell ref="R14:S14"/>
    <mergeCell ref="R15:S15"/>
    <mergeCell ref="R16:S16"/>
    <mergeCell ref="B2:K3"/>
    <mergeCell ref="M2:V3"/>
    <mergeCell ref="B5:E5"/>
    <mergeCell ref="G5:H5"/>
    <mergeCell ref="R5:S5"/>
    <mergeCell ref="G6:H6"/>
    <mergeCell ref="R6:S6"/>
    <mergeCell ref="G9:H9"/>
    <mergeCell ref="G10:H10"/>
    <mergeCell ref="M5:P5"/>
    <mergeCell ref="N6:O6"/>
    <mergeCell ref="N7:O7"/>
    <mergeCell ref="R7:S7"/>
    <mergeCell ref="N8:O8"/>
    <mergeCell ref="R8:S8"/>
    <mergeCell ref="R9:S9"/>
    <mergeCell ref="N9:O9"/>
    <mergeCell ref="N10:O10"/>
    <mergeCell ref="N11:O11"/>
    <mergeCell ref="N12:O12"/>
    <mergeCell ref="N13:O13"/>
    <mergeCell ref="N14:O14"/>
    <mergeCell ref="N15:O15"/>
    <mergeCell ref="R26:S26"/>
    <mergeCell ref="R27:S27"/>
    <mergeCell ref="C27:D27"/>
    <mergeCell ref="C28:D28"/>
    <mergeCell ref="G28:H28"/>
    <mergeCell ref="N16:O16"/>
    <mergeCell ref="M17:M18"/>
    <mergeCell ref="N17:O17"/>
    <mergeCell ref="N18:O18"/>
    <mergeCell ref="M20:V21"/>
    <mergeCell ref="M26:P26"/>
    <mergeCell ref="N27:O27"/>
    <mergeCell ref="G51:H51"/>
    <mergeCell ref="G52:H52"/>
    <mergeCell ref="C48:D48"/>
    <mergeCell ref="C49:D49"/>
    <mergeCell ref="G49:H49"/>
    <mergeCell ref="C50:D50"/>
    <mergeCell ref="G50:H50"/>
    <mergeCell ref="C51:D51"/>
    <mergeCell ref="C52:D52"/>
    <mergeCell ref="C56:D56"/>
    <mergeCell ref="C57:D57"/>
    <mergeCell ref="C58:D58"/>
    <mergeCell ref="C53:D53"/>
    <mergeCell ref="G53:H53"/>
    <mergeCell ref="C54:D54"/>
    <mergeCell ref="G54:H54"/>
    <mergeCell ref="C55:D55"/>
    <mergeCell ref="G55:H55"/>
    <mergeCell ref="G56:H56"/>
    <mergeCell ref="N48:O48"/>
    <mergeCell ref="N49:O49"/>
    <mergeCell ref="R49:S49"/>
    <mergeCell ref="N50:O50"/>
    <mergeCell ref="R50:S50"/>
    <mergeCell ref="N51:O51"/>
    <mergeCell ref="N52:O52"/>
    <mergeCell ref="N53:O53"/>
    <mergeCell ref="R53:S53"/>
    <mergeCell ref="N54:O54"/>
    <mergeCell ref="R54:S54"/>
    <mergeCell ref="N55:O55"/>
    <mergeCell ref="R55:S55"/>
    <mergeCell ref="R56:S56"/>
    <mergeCell ref="C14:D14"/>
    <mergeCell ref="C15:D15"/>
    <mergeCell ref="C16:D16"/>
    <mergeCell ref="G15:H15"/>
    <mergeCell ref="G16:H16"/>
    <mergeCell ref="B20:K21"/>
    <mergeCell ref="B23:K24"/>
    <mergeCell ref="B26:E26"/>
    <mergeCell ref="G26:H26"/>
    <mergeCell ref="G27:H27"/>
    <mergeCell ref="G33:H33"/>
    <mergeCell ref="G34:H34"/>
    <mergeCell ref="G35:H35"/>
    <mergeCell ref="G36:H36"/>
    <mergeCell ref="G37:H37"/>
    <mergeCell ref="G38:H38"/>
    <mergeCell ref="G39:H39"/>
    <mergeCell ref="C29:D29"/>
    <mergeCell ref="G29:H29"/>
    <mergeCell ref="C30:D30"/>
    <mergeCell ref="G30:H30"/>
    <mergeCell ref="C31:D31"/>
    <mergeCell ref="G31:H31"/>
    <mergeCell ref="G32:H32"/>
    <mergeCell ref="C32:D32"/>
    <mergeCell ref="C33:D33"/>
    <mergeCell ref="C34:D34"/>
    <mergeCell ref="C35:D35"/>
    <mergeCell ref="C36:D36"/>
    <mergeCell ref="C37:D37"/>
    <mergeCell ref="B38:B39"/>
    <mergeCell ref="C38:D38"/>
    <mergeCell ref="C39:D39"/>
    <mergeCell ref="B41:K42"/>
    <mergeCell ref="B44:K45"/>
    <mergeCell ref="B47:E47"/>
    <mergeCell ref="G47:H47"/>
    <mergeCell ref="G48:H48"/>
    <mergeCell ref="G57:H57"/>
    <mergeCell ref="G58:H58"/>
    <mergeCell ref="B59:B60"/>
    <mergeCell ref="C59:D59"/>
    <mergeCell ref="G59:H59"/>
    <mergeCell ref="C60:D60"/>
    <mergeCell ref="G60:H6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.88"/>
    <col customWidth="1" min="3" max="3" width="15.38"/>
    <col customWidth="1" min="4" max="4" width="12.0"/>
    <col customWidth="1" min="6" max="6" width="5.88"/>
    <col customWidth="1" min="7" max="7" width="15.75"/>
  </cols>
  <sheetData>
    <row r="1">
      <c r="A1" s="171" t="s">
        <v>34</v>
      </c>
      <c r="B1" s="1"/>
      <c r="C1" s="1"/>
      <c r="D1" s="1"/>
      <c r="E1" s="1"/>
      <c r="F1" s="127"/>
      <c r="G1" s="1"/>
      <c r="L1" s="172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72"/>
    </row>
    <row r="3">
      <c r="B3" s="5"/>
      <c r="C3" s="6"/>
      <c r="D3" s="6"/>
      <c r="E3" s="6"/>
      <c r="F3" s="6"/>
      <c r="G3" s="6"/>
      <c r="H3" s="6"/>
      <c r="I3" s="6"/>
      <c r="J3" s="6"/>
      <c r="K3" s="7"/>
      <c r="L3" s="172"/>
    </row>
    <row r="4">
      <c r="B4" s="8"/>
      <c r="C4" s="8"/>
      <c r="D4" s="8"/>
      <c r="E4" s="8"/>
      <c r="F4" s="129"/>
      <c r="G4" s="8"/>
      <c r="L4" s="172"/>
    </row>
    <row r="5">
      <c r="B5" s="9" t="s">
        <v>26</v>
      </c>
      <c r="C5" s="10"/>
      <c r="D5" s="10"/>
      <c r="E5" s="11"/>
      <c r="F5" s="128"/>
      <c r="G5" s="72" t="s">
        <v>66</v>
      </c>
      <c r="H5" s="10"/>
      <c r="I5" s="12" t="s">
        <v>2</v>
      </c>
      <c r="J5" s="13" t="s">
        <v>3</v>
      </c>
      <c r="K5" s="14" t="s">
        <v>4</v>
      </c>
      <c r="L5" s="172"/>
    </row>
    <row r="6">
      <c r="A6" s="171" t="s">
        <v>67</v>
      </c>
      <c r="B6" s="15">
        <v>1.0</v>
      </c>
      <c r="C6" s="16" t="s">
        <v>5</v>
      </c>
      <c r="D6" s="11"/>
      <c r="E6" s="15">
        <v>430.0</v>
      </c>
      <c r="F6" s="128"/>
      <c r="G6" s="17" t="s">
        <v>6</v>
      </c>
      <c r="H6" s="18"/>
      <c r="I6" s="19">
        <f>E6</f>
        <v>430</v>
      </c>
      <c r="J6" s="20"/>
      <c r="K6" s="21"/>
      <c r="L6" s="172"/>
    </row>
    <row r="7">
      <c r="B7" s="22">
        <v>2.0</v>
      </c>
      <c r="C7" s="23" t="s">
        <v>7</v>
      </c>
      <c r="D7" s="11"/>
      <c r="E7" s="24">
        <v>0.7</v>
      </c>
      <c r="F7" s="150">
        <v>0.7</v>
      </c>
      <c r="G7" s="25" t="s">
        <v>8</v>
      </c>
      <c r="H7" s="26"/>
      <c r="I7" s="27">
        <f t="shared" ref="I7:I8" si="1">I6*J7</f>
        <v>301</v>
      </c>
      <c r="J7" s="28">
        <f t="shared" ref="J7:J8" si="2">E7</f>
        <v>0.7</v>
      </c>
      <c r="K7" s="29">
        <f>I7+(I7*E9)</f>
        <v>391.3</v>
      </c>
      <c r="L7" s="75">
        <f>K7/I6</f>
        <v>0.91</v>
      </c>
    </row>
    <row r="8">
      <c r="B8" s="30">
        <v>3.0</v>
      </c>
      <c r="C8" s="31" t="s">
        <v>9</v>
      </c>
      <c r="D8" s="11"/>
      <c r="E8" s="32">
        <v>0.6</v>
      </c>
      <c r="F8" s="154" t="s">
        <v>36</v>
      </c>
      <c r="G8" s="25" t="s">
        <v>10</v>
      </c>
      <c r="H8" s="26"/>
      <c r="I8" s="33">
        <f t="shared" si="1"/>
        <v>180.6</v>
      </c>
      <c r="J8" s="34">
        <f t="shared" si="2"/>
        <v>0.6</v>
      </c>
      <c r="K8" s="35">
        <f>I8+(I8*E9)</f>
        <v>234.78</v>
      </c>
      <c r="L8" s="75">
        <f>K8/K7</f>
        <v>0.6</v>
      </c>
    </row>
    <row r="9">
      <c r="B9" s="36">
        <v>4.0</v>
      </c>
      <c r="C9" s="37" t="s">
        <v>11</v>
      </c>
      <c r="D9" s="11"/>
      <c r="E9" s="38">
        <v>0.3</v>
      </c>
      <c r="F9" s="128"/>
      <c r="G9" s="25" t="s">
        <v>12</v>
      </c>
      <c r="H9" s="26"/>
      <c r="I9" s="39">
        <f>E11</f>
        <v>55</v>
      </c>
      <c r="J9" s="40">
        <f>E12</f>
        <v>0.2</v>
      </c>
      <c r="K9" s="41">
        <f>I9+(I9*E12)</f>
        <v>66</v>
      </c>
      <c r="L9" s="172"/>
    </row>
    <row r="10">
      <c r="B10" s="42">
        <v>5.0</v>
      </c>
      <c r="C10" s="43" t="s">
        <v>13</v>
      </c>
      <c r="D10" s="11"/>
      <c r="E10" s="44">
        <v>0.4</v>
      </c>
      <c r="F10" s="128"/>
      <c r="G10" s="25" t="s">
        <v>14</v>
      </c>
      <c r="H10" s="26"/>
      <c r="I10" s="45">
        <f>E13</f>
        <v>1800</v>
      </c>
      <c r="J10" s="46">
        <f>E14</f>
        <v>0.3</v>
      </c>
      <c r="K10" s="47">
        <f>I10+(I10*J10)</f>
        <v>2340</v>
      </c>
      <c r="L10" s="172">
        <f>K10/3</f>
        <v>780</v>
      </c>
    </row>
    <row r="11">
      <c r="B11" s="48">
        <v>6.0</v>
      </c>
      <c r="C11" s="49" t="s">
        <v>15</v>
      </c>
      <c r="D11" s="11"/>
      <c r="E11" s="50">
        <v>55.0</v>
      </c>
      <c r="F11" s="128"/>
      <c r="G11" s="25" t="s">
        <v>16</v>
      </c>
      <c r="H11" s="26"/>
      <c r="I11" s="45">
        <f>IFERROR(I7/E15,0)</f>
        <v>75.25</v>
      </c>
      <c r="J11" s="51"/>
      <c r="K11" s="47">
        <f>IFERROR(K7/K13,0)</f>
        <v>78.26</v>
      </c>
      <c r="L11" s="172"/>
    </row>
    <row r="12">
      <c r="B12" s="48">
        <v>7.0</v>
      </c>
      <c r="C12" s="49" t="s">
        <v>17</v>
      </c>
      <c r="D12" s="11"/>
      <c r="E12" s="52">
        <v>0.2</v>
      </c>
      <c r="F12" s="128"/>
      <c r="G12" s="25" t="s">
        <v>18</v>
      </c>
      <c r="H12" s="26"/>
      <c r="I12" s="45">
        <f>IFERROR(I10/I8,0)</f>
        <v>9.966777409</v>
      </c>
      <c r="J12" s="51"/>
      <c r="K12" s="47">
        <f>IFERROR(K10/K8,0)</f>
        <v>9.966777409</v>
      </c>
      <c r="L12" s="172"/>
    </row>
    <row r="13">
      <c r="B13" s="55">
        <v>8.0</v>
      </c>
      <c r="C13" s="56" t="s">
        <v>19</v>
      </c>
      <c r="D13" s="11"/>
      <c r="E13" s="57">
        <v>1800.0</v>
      </c>
      <c r="F13" s="143">
        <v>758.0</v>
      </c>
      <c r="G13" s="25" t="s">
        <v>20</v>
      </c>
      <c r="H13" s="26"/>
      <c r="I13" s="59"/>
      <c r="J13" s="51"/>
      <c r="K13" s="47">
        <f>E15+(E15*E16)</f>
        <v>5</v>
      </c>
      <c r="L13" s="172"/>
    </row>
    <row r="14">
      <c r="B14" s="55">
        <v>9.0</v>
      </c>
      <c r="C14" s="56" t="s">
        <v>21</v>
      </c>
      <c r="D14" s="11"/>
      <c r="E14" s="60">
        <v>0.3</v>
      </c>
      <c r="F14" s="145"/>
      <c r="G14" s="25" t="s">
        <v>22</v>
      </c>
      <c r="H14" s="26"/>
      <c r="I14" s="45">
        <f>IFERROR(I10/E15,0)</f>
        <v>450</v>
      </c>
      <c r="J14" s="51"/>
      <c r="K14" s="47">
        <f>IFERROR(K10/K13,0)</f>
        <v>468</v>
      </c>
      <c r="L14" s="172"/>
    </row>
    <row r="15">
      <c r="B15" s="55">
        <v>10.0</v>
      </c>
      <c r="C15" s="56" t="s">
        <v>23</v>
      </c>
      <c r="D15" s="11"/>
      <c r="E15" s="57">
        <v>4.0</v>
      </c>
      <c r="F15" s="145"/>
      <c r="G15" s="25"/>
      <c r="H15" s="26"/>
      <c r="I15" s="59"/>
      <c r="J15" s="51"/>
      <c r="K15" s="146"/>
      <c r="L15" s="172"/>
    </row>
    <row r="16">
      <c r="B16" s="55">
        <v>11.0</v>
      </c>
      <c r="C16" s="56" t="s">
        <v>24</v>
      </c>
      <c r="D16" s="11"/>
      <c r="E16" s="60">
        <v>0.25</v>
      </c>
      <c r="F16" s="145"/>
      <c r="G16" s="147" t="s">
        <v>30</v>
      </c>
      <c r="H16" s="26"/>
      <c r="I16" s="88"/>
      <c r="J16" s="89"/>
      <c r="K16" s="90">
        <f>(K10*28)*E17</f>
        <v>8517.6</v>
      </c>
      <c r="L16" s="172"/>
    </row>
    <row r="17">
      <c r="B17" s="91">
        <v>12.0</v>
      </c>
      <c r="C17" s="92" t="s">
        <v>31</v>
      </c>
      <c r="D17" s="11"/>
      <c r="E17" s="93">
        <v>0.13</v>
      </c>
      <c r="F17" s="145"/>
      <c r="G17" s="147" t="s">
        <v>32</v>
      </c>
      <c r="H17" s="26"/>
      <c r="I17" s="94"/>
      <c r="J17" s="95"/>
      <c r="K17" s="90">
        <f>(K10*28)*E18</f>
        <v>655.2</v>
      </c>
      <c r="L17" s="172"/>
    </row>
    <row r="18">
      <c r="B18" s="96"/>
      <c r="C18" s="92" t="s">
        <v>43</v>
      </c>
      <c r="D18" s="11"/>
      <c r="E18" s="93">
        <v>0.01</v>
      </c>
      <c r="F18" s="145"/>
      <c r="G18" s="62"/>
      <c r="H18" s="63"/>
      <c r="I18" s="64"/>
      <c r="J18" s="65"/>
      <c r="K18" s="66"/>
      <c r="L18" s="172"/>
    </row>
    <row r="19">
      <c r="F19" s="129"/>
      <c r="G19" s="61"/>
      <c r="L19" s="172"/>
    </row>
    <row r="20">
      <c r="B20" s="67" t="s">
        <v>25</v>
      </c>
      <c r="L20" s="172"/>
    </row>
    <row r="21">
      <c r="L21" s="172"/>
    </row>
    <row r="22">
      <c r="F22" s="129"/>
      <c r="G22" s="8"/>
      <c r="L22" s="172"/>
    </row>
    <row r="23">
      <c r="F23" s="129"/>
      <c r="G23" s="8"/>
      <c r="L23" s="172"/>
    </row>
    <row r="24">
      <c r="B24" s="2" t="s">
        <v>0</v>
      </c>
      <c r="C24" s="3"/>
      <c r="D24" s="3"/>
      <c r="E24" s="3"/>
      <c r="F24" s="3"/>
      <c r="G24" s="3"/>
      <c r="H24" s="3"/>
      <c r="I24" s="3"/>
      <c r="J24" s="3"/>
      <c r="K24" s="4"/>
      <c r="L24" s="172"/>
    </row>
    <row r="25">
      <c r="B25" s="5"/>
      <c r="C25" s="6"/>
      <c r="D25" s="6"/>
      <c r="E25" s="6"/>
      <c r="F25" s="6"/>
      <c r="G25" s="6"/>
      <c r="H25" s="6"/>
      <c r="I25" s="6"/>
      <c r="J25" s="6"/>
      <c r="K25" s="7"/>
      <c r="L25" s="172"/>
    </row>
    <row r="26">
      <c r="B26" s="8"/>
      <c r="C26" s="8"/>
      <c r="D26" s="8"/>
      <c r="E26" s="8"/>
      <c r="F26" s="129"/>
      <c r="G26" s="8"/>
      <c r="L26" s="172"/>
    </row>
    <row r="27">
      <c r="B27" s="9" t="s">
        <v>26</v>
      </c>
      <c r="C27" s="10"/>
      <c r="D27" s="10"/>
      <c r="E27" s="11"/>
      <c r="F27" s="128"/>
      <c r="G27" s="72" t="s">
        <v>68</v>
      </c>
      <c r="H27" s="10"/>
      <c r="I27" s="12" t="s">
        <v>2</v>
      </c>
      <c r="J27" s="13" t="s">
        <v>3</v>
      </c>
      <c r="K27" s="14" t="s">
        <v>4</v>
      </c>
      <c r="L27" s="172"/>
    </row>
    <row r="28">
      <c r="A28" s="171" t="s">
        <v>69</v>
      </c>
      <c r="B28" s="15">
        <v>1.0</v>
      </c>
      <c r="C28" s="16" t="s">
        <v>5</v>
      </c>
      <c r="D28" s="11"/>
      <c r="E28" s="15">
        <v>652.0</v>
      </c>
      <c r="F28" s="128"/>
      <c r="G28" s="17" t="s">
        <v>6</v>
      </c>
      <c r="H28" s="18"/>
      <c r="I28" s="19">
        <f>E28</f>
        <v>652</v>
      </c>
      <c r="J28" s="20"/>
      <c r="K28" s="21"/>
      <c r="L28" s="172"/>
    </row>
    <row r="29">
      <c r="B29" s="22">
        <v>2.0</v>
      </c>
      <c r="C29" s="23" t="s">
        <v>7</v>
      </c>
      <c r="D29" s="11"/>
      <c r="E29" s="24">
        <v>0.5</v>
      </c>
      <c r="F29" s="150">
        <v>0.5</v>
      </c>
      <c r="G29" s="25" t="s">
        <v>8</v>
      </c>
      <c r="H29" s="26"/>
      <c r="I29" s="27">
        <f t="shared" ref="I29:I30" si="3">I28*J29</f>
        <v>326</v>
      </c>
      <c r="J29" s="28">
        <f t="shared" ref="J29:J30" si="4">E29</f>
        <v>0.5</v>
      </c>
      <c r="K29" s="29">
        <f>I29+(I29*E31)</f>
        <v>407.5</v>
      </c>
      <c r="L29" s="75">
        <f>K29/I28</f>
        <v>0.625</v>
      </c>
    </row>
    <row r="30">
      <c r="B30" s="30">
        <v>3.0</v>
      </c>
      <c r="C30" s="31" t="s">
        <v>9</v>
      </c>
      <c r="D30" s="11"/>
      <c r="E30" s="32">
        <v>0.4</v>
      </c>
      <c r="F30" s="154" t="s">
        <v>38</v>
      </c>
      <c r="G30" s="25" t="s">
        <v>10</v>
      </c>
      <c r="H30" s="26"/>
      <c r="I30" s="33">
        <f t="shared" si="3"/>
        <v>130.4</v>
      </c>
      <c r="J30" s="34">
        <f t="shared" si="4"/>
        <v>0.4</v>
      </c>
      <c r="K30" s="35">
        <f>I30+(I30*E31)</f>
        <v>163</v>
      </c>
      <c r="L30" s="75">
        <f>K30/K29</f>
        <v>0.4</v>
      </c>
    </row>
    <row r="31">
      <c r="B31" s="36">
        <v>4.0</v>
      </c>
      <c r="C31" s="37" t="s">
        <v>11</v>
      </c>
      <c r="D31" s="11"/>
      <c r="E31" s="38">
        <v>0.25</v>
      </c>
      <c r="F31" s="128"/>
      <c r="G31" s="25" t="s">
        <v>12</v>
      </c>
      <c r="H31" s="26"/>
      <c r="I31" s="39">
        <f>E33</f>
        <v>20</v>
      </c>
      <c r="J31" s="40">
        <f>E34</f>
        <v>0.5</v>
      </c>
      <c r="K31" s="41">
        <f>I31+(I31*E34)</f>
        <v>30</v>
      </c>
      <c r="L31" s="172"/>
    </row>
    <row r="32">
      <c r="B32" s="42">
        <v>5.0</v>
      </c>
      <c r="C32" s="43" t="s">
        <v>13</v>
      </c>
      <c r="D32" s="11"/>
      <c r="E32" s="44">
        <v>0.4</v>
      </c>
      <c r="F32" s="128"/>
      <c r="G32" s="25" t="s">
        <v>14</v>
      </c>
      <c r="H32" s="26"/>
      <c r="I32" s="45">
        <f>E35</f>
        <v>1650</v>
      </c>
      <c r="J32" s="46">
        <f>E36</f>
        <v>0.4</v>
      </c>
      <c r="K32" s="47">
        <f>I32+(I32*J32)</f>
        <v>2310</v>
      </c>
      <c r="L32" s="172">
        <f>K32/3</f>
        <v>770</v>
      </c>
    </row>
    <row r="33">
      <c r="B33" s="48">
        <v>6.0</v>
      </c>
      <c r="C33" s="49" t="s">
        <v>15</v>
      </c>
      <c r="D33" s="11"/>
      <c r="E33" s="50">
        <v>20.0</v>
      </c>
      <c r="F33" s="128"/>
      <c r="G33" s="25" t="s">
        <v>16</v>
      </c>
      <c r="H33" s="26"/>
      <c r="I33" s="45">
        <f>IFERROR(I29/E37,0)</f>
        <v>65.2</v>
      </c>
      <c r="J33" s="51"/>
      <c r="K33" s="47">
        <f>IFERROR(K29/K35,0)</f>
        <v>65.2</v>
      </c>
      <c r="L33" s="172"/>
    </row>
    <row r="34">
      <c r="B34" s="48">
        <v>7.0</v>
      </c>
      <c r="C34" s="49" t="s">
        <v>17</v>
      </c>
      <c r="D34" s="11"/>
      <c r="E34" s="52">
        <v>0.5</v>
      </c>
      <c r="F34" s="128"/>
      <c r="G34" s="25" t="s">
        <v>18</v>
      </c>
      <c r="H34" s="26"/>
      <c r="I34" s="45">
        <f>IFERROR(I32/I30,0)</f>
        <v>12.65337423</v>
      </c>
      <c r="J34" s="51"/>
      <c r="K34" s="47">
        <f>IFERROR(K32/K30,0)</f>
        <v>14.17177914</v>
      </c>
      <c r="L34" s="172"/>
    </row>
    <row r="35">
      <c r="B35" s="55">
        <v>8.0</v>
      </c>
      <c r="C35" s="56" t="s">
        <v>19</v>
      </c>
      <c r="D35" s="11"/>
      <c r="E35" s="57">
        <f>900+750</f>
        <v>1650</v>
      </c>
      <c r="F35" s="163"/>
      <c r="G35" s="25" t="s">
        <v>20</v>
      </c>
      <c r="H35" s="26"/>
      <c r="I35" s="59"/>
      <c r="J35" s="51"/>
      <c r="K35" s="47">
        <f>E37+(E37*E38)</f>
        <v>6.25</v>
      </c>
      <c r="L35" s="172"/>
    </row>
    <row r="36">
      <c r="B36" s="55">
        <v>9.0</v>
      </c>
      <c r="C36" s="56" t="s">
        <v>21</v>
      </c>
      <c r="D36" s="11"/>
      <c r="E36" s="60">
        <v>0.4</v>
      </c>
      <c r="F36" s="145"/>
      <c r="G36" s="25" t="s">
        <v>22</v>
      </c>
      <c r="H36" s="26"/>
      <c r="I36" s="45">
        <f>IFERROR(I32/E37,0)</f>
        <v>330</v>
      </c>
      <c r="J36" s="51"/>
      <c r="K36" s="47">
        <f>IFERROR(K32/K35,0)</f>
        <v>369.6</v>
      </c>
      <c r="L36" s="172"/>
    </row>
    <row r="37">
      <c r="B37" s="55">
        <v>10.0</v>
      </c>
      <c r="C37" s="56" t="s">
        <v>23</v>
      </c>
      <c r="D37" s="11"/>
      <c r="E37" s="57">
        <v>5.0</v>
      </c>
      <c r="F37" s="145"/>
      <c r="G37" s="25"/>
      <c r="H37" s="26"/>
      <c r="I37" s="59"/>
      <c r="J37" s="51"/>
      <c r="K37" s="146"/>
      <c r="L37" s="172"/>
    </row>
    <row r="38">
      <c r="B38" s="55">
        <v>11.0</v>
      </c>
      <c r="C38" s="56" t="s">
        <v>24</v>
      </c>
      <c r="D38" s="11"/>
      <c r="E38" s="60">
        <v>0.25</v>
      </c>
      <c r="F38" s="145"/>
      <c r="G38" s="147" t="s">
        <v>30</v>
      </c>
      <c r="H38" s="26"/>
      <c r="I38" s="88"/>
      <c r="J38" s="89"/>
      <c r="K38" s="90">
        <f>(K32*28)*E39</f>
        <v>11642.4</v>
      </c>
      <c r="L38" s="172"/>
    </row>
    <row r="39">
      <c r="B39" s="91">
        <v>12.0</v>
      </c>
      <c r="C39" s="92" t="s">
        <v>31</v>
      </c>
      <c r="D39" s="11"/>
      <c r="E39" s="93">
        <v>0.18</v>
      </c>
      <c r="F39" s="145"/>
      <c r="G39" s="147" t="s">
        <v>32</v>
      </c>
      <c r="H39" s="26"/>
      <c r="I39" s="94"/>
      <c r="J39" s="95"/>
      <c r="K39" s="90">
        <f>(K32*28)*E40</f>
        <v>646.8</v>
      </c>
      <c r="L39" s="172"/>
    </row>
    <row r="40">
      <c r="B40" s="96"/>
      <c r="C40" s="92" t="s">
        <v>43</v>
      </c>
      <c r="D40" s="11"/>
      <c r="E40" s="97">
        <v>0.01</v>
      </c>
      <c r="F40" s="145"/>
      <c r="G40" s="62"/>
      <c r="H40" s="63"/>
      <c r="I40" s="64"/>
      <c r="J40" s="65"/>
      <c r="K40" s="66"/>
      <c r="L40" s="172"/>
    </row>
    <row r="41">
      <c r="F41" s="129"/>
      <c r="G41" s="61"/>
      <c r="L41" s="172"/>
    </row>
    <row r="42">
      <c r="B42" s="67" t="s">
        <v>25</v>
      </c>
      <c r="L42" s="172"/>
    </row>
    <row r="43">
      <c r="L43" s="172"/>
    </row>
    <row r="44">
      <c r="B44" s="173" t="s">
        <v>0</v>
      </c>
      <c r="C44" s="3"/>
      <c r="D44" s="3"/>
      <c r="E44" s="3"/>
      <c r="F44" s="3"/>
      <c r="G44" s="3"/>
      <c r="H44" s="3"/>
      <c r="I44" s="3"/>
      <c r="J44" s="3"/>
      <c r="K44" s="4"/>
      <c r="L44" s="172"/>
    </row>
    <row r="45">
      <c r="B45" s="5"/>
      <c r="C45" s="6"/>
      <c r="D45" s="6"/>
      <c r="E45" s="6"/>
      <c r="F45" s="6"/>
      <c r="G45" s="6"/>
      <c r="H45" s="6"/>
      <c r="I45" s="6"/>
      <c r="J45" s="6"/>
      <c r="K45" s="7"/>
      <c r="L45" s="172"/>
    </row>
    <row r="46">
      <c r="B46" s="8"/>
      <c r="C46" s="8"/>
      <c r="D46" s="8"/>
      <c r="E46" s="8"/>
      <c r="F46" s="129"/>
      <c r="G46" s="8"/>
      <c r="L46" s="172"/>
    </row>
    <row r="47">
      <c r="B47" s="8"/>
      <c r="C47" s="8"/>
      <c r="D47" s="8"/>
      <c r="E47" s="8"/>
      <c r="F47" s="129"/>
      <c r="G47" s="8"/>
      <c r="L47" s="172"/>
    </row>
    <row r="48">
      <c r="B48" s="9" t="s">
        <v>26</v>
      </c>
      <c r="C48" s="10"/>
      <c r="D48" s="10"/>
      <c r="E48" s="11"/>
      <c r="F48" s="128"/>
      <c r="G48" s="72" t="s">
        <v>70</v>
      </c>
      <c r="H48" s="10"/>
      <c r="I48" s="12" t="s">
        <v>2</v>
      </c>
      <c r="J48" s="13" t="s">
        <v>3</v>
      </c>
      <c r="K48" s="14" t="s">
        <v>4</v>
      </c>
      <c r="L48" s="172"/>
    </row>
    <row r="49">
      <c r="A49" s="171" t="s">
        <v>71</v>
      </c>
      <c r="B49" s="15">
        <v>1.0</v>
      </c>
      <c r="C49" s="16" t="s">
        <v>5</v>
      </c>
      <c r="D49" s="11"/>
      <c r="E49" s="15">
        <v>1303.0</v>
      </c>
      <c r="F49" s="128"/>
      <c r="G49" s="17" t="s">
        <v>6</v>
      </c>
      <c r="H49" s="18"/>
      <c r="I49" s="19">
        <f>E49</f>
        <v>1303</v>
      </c>
      <c r="J49" s="20"/>
      <c r="K49" s="21"/>
      <c r="L49" s="172"/>
    </row>
    <row r="50">
      <c r="B50" s="22">
        <v>2.0</v>
      </c>
      <c r="C50" s="23" t="s">
        <v>7</v>
      </c>
      <c r="D50" s="11"/>
      <c r="E50" s="24">
        <v>0.7</v>
      </c>
      <c r="F50" s="150">
        <v>0.7</v>
      </c>
      <c r="G50" s="25" t="s">
        <v>8</v>
      </c>
      <c r="H50" s="26"/>
      <c r="I50" s="27">
        <f t="shared" ref="I50:I51" si="5">I49*J50</f>
        <v>912.1</v>
      </c>
      <c r="J50" s="28">
        <f t="shared" ref="J50:J51" si="6">E50</f>
        <v>0.7</v>
      </c>
      <c r="K50" s="29">
        <f>I50+(I50*E52)</f>
        <v>1003.31</v>
      </c>
      <c r="L50" s="75">
        <f>K50/I49</f>
        <v>0.77</v>
      </c>
    </row>
    <row r="51">
      <c r="B51" s="30">
        <v>3.0</v>
      </c>
      <c r="C51" s="31" t="s">
        <v>9</v>
      </c>
      <c r="D51" s="11"/>
      <c r="E51" s="32">
        <v>0.35</v>
      </c>
      <c r="F51" s="154" t="s">
        <v>36</v>
      </c>
      <c r="G51" s="25" t="s">
        <v>10</v>
      </c>
      <c r="H51" s="26"/>
      <c r="I51" s="33">
        <f t="shared" si="5"/>
        <v>319.235</v>
      </c>
      <c r="J51" s="34">
        <f t="shared" si="6"/>
        <v>0.35</v>
      </c>
      <c r="K51" s="35">
        <f>I51+(I51*E52)</f>
        <v>351.1585</v>
      </c>
      <c r="L51" s="75">
        <f>K51/K50</f>
        <v>0.35</v>
      </c>
    </row>
    <row r="52">
      <c r="B52" s="36">
        <v>4.0</v>
      </c>
      <c r="C52" s="37" t="s">
        <v>11</v>
      </c>
      <c r="D52" s="11"/>
      <c r="E52" s="38">
        <v>0.1</v>
      </c>
      <c r="F52" s="128"/>
      <c r="G52" s="25" t="s">
        <v>12</v>
      </c>
      <c r="H52" s="26"/>
      <c r="I52" s="39">
        <f>E54</f>
        <v>30</v>
      </c>
      <c r="J52" s="40">
        <f>E55</f>
        <v>0.5</v>
      </c>
      <c r="K52" s="41">
        <f>I52+(I52*E55)</f>
        <v>45</v>
      </c>
      <c r="L52" s="172"/>
    </row>
    <row r="53">
      <c r="B53" s="42">
        <v>5.0</v>
      </c>
      <c r="C53" s="43" t="s">
        <v>13</v>
      </c>
      <c r="D53" s="11"/>
      <c r="E53" s="44">
        <v>0.4</v>
      </c>
      <c r="F53" s="128"/>
      <c r="G53" s="25" t="s">
        <v>14</v>
      </c>
      <c r="H53" s="26"/>
      <c r="I53" s="45">
        <f>E56</f>
        <v>1350</v>
      </c>
      <c r="J53" s="46">
        <f>E57</f>
        <v>0.25</v>
      </c>
      <c r="K53" s="47">
        <f>I53+(I53*J53)</f>
        <v>1687.5</v>
      </c>
      <c r="L53" s="174">
        <f>K53/3</f>
        <v>562.5</v>
      </c>
    </row>
    <row r="54">
      <c r="B54" s="48">
        <v>6.0</v>
      </c>
      <c r="C54" s="49" t="s">
        <v>15</v>
      </c>
      <c r="D54" s="11"/>
      <c r="E54" s="50">
        <v>30.0</v>
      </c>
      <c r="F54" s="128"/>
      <c r="G54" s="25" t="s">
        <v>16</v>
      </c>
      <c r="H54" s="26"/>
      <c r="I54" s="45">
        <f>IFERROR(I50/E58,0)</f>
        <v>91.21</v>
      </c>
      <c r="J54" s="51"/>
      <c r="K54" s="47">
        <f>IFERROR(K50/K56,0)</f>
        <v>91.21</v>
      </c>
      <c r="L54" s="172"/>
    </row>
    <row r="55">
      <c r="B55" s="48">
        <v>7.0</v>
      </c>
      <c r="C55" s="49" t="s">
        <v>17</v>
      </c>
      <c r="D55" s="11"/>
      <c r="E55" s="52">
        <v>0.5</v>
      </c>
      <c r="F55" s="128"/>
      <c r="G55" s="25" t="s">
        <v>18</v>
      </c>
      <c r="H55" s="26"/>
      <c r="I55" s="53">
        <f>IFERROR(I53/I51,0)</f>
        <v>4.228859618</v>
      </c>
      <c r="J55" s="51"/>
      <c r="K55" s="54">
        <f>IFERROR(K53/K51,0)</f>
        <v>4.805522293</v>
      </c>
      <c r="L55" s="172"/>
    </row>
    <row r="56">
      <c r="B56" s="55">
        <v>8.0</v>
      </c>
      <c r="C56" s="56" t="s">
        <v>19</v>
      </c>
      <c r="D56" s="11"/>
      <c r="E56" s="57">
        <v>1350.0</v>
      </c>
      <c r="F56" s="163"/>
      <c r="G56" s="25" t="s">
        <v>20</v>
      </c>
      <c r="H56" s="26"/>
      <c r="I56" s="59"/>
      <c r="J56" s="51"/>
      <c r="K56" s="47">
        <f>E58+(E58*E59)</f>
        <v>11</v>
      </c>
      <c r="L56" s="172"/>
    </row>
    <row r="57">
      <c r="B57" s="55">
        <v>9.0</v>
      </c>
      <c r="C57" s="56" t="s">
        <v>21</v>
      </c>
      <c r="D57" s="11"/>
      <c r="E57" s="60">
        <v>0.25</v>
      </c>
      <c r="F57" s="145"/>
      <c r="G57" s="25" t="s">
        <v>22</v>
      </c>
      <c r="H57" s="26"/>
      <c r="I57" s="45">
        <f>IFERROR(I53/E58,0)</f>
        <v>135</v>
      </c>
      <c r="J57" s="51"/>
      <c r="K57" s="47">
        <f>IFERROR(K53/K56,0)</f>
        <v>153.4090909</v>
      </c>
      <c r="L57" s="172"/>
    </row>
    <row r="58">
      <c r="B58" s="55">
        <v>10.0</v>
      </c>
      <c r="C58" s="56" t="s">
        <v>23</v>
      </c>
      <c r="D58" s="11"/>
      <c r="E58" s="57">
        <v>10.0</v>
      </c>
      <c r="F58" s="145"/>
      <c r="G58" s="25"/>
      <c r="H58" s="26"/>
      <c r="I58" s="59"/>
      <c r="J58" s="51"/>
      <c r="K58" s="146"/>
      <c r="L58" s="172"/>
    </row>
    <row r="59">
      <c r="B59" s="55">
        <v>11.0</v>
      </c>
      <c r="C59" s="56" t="s">
        <v>24</v>
      </c>
      <c r="D59" s="11"/>
      <c r="E59" s="60">
        <v>0.1</v>
      </c>
      <c r="F59" s="145"/>
      <c r="G59" s="147" t="s">
        <v>30</v>
      </c>
      <c r="H59" s="26"/>
      <c r="I59" s="88"/>
      <c r="J59" s="89"/>
      <c r="K59" s="90">
        <f>(K53*28)*E60</f>
        <v>9450</v>
      </c>
      <c r="L59" s="172"/>
    </row>
    <row r="60">
      <c r="B60" s="91">
        <v>12.0</v>
      </c>
      <c r="C60" s="92" t="s">
        <v>31</v>
      </c>
      <c r="D60" s="11"/>
      <c r="E60" s="93">
        <v>0.2</v>
      </c>
      <c r="F60" s="145"/>
      <c r="G60" s="147" t="s">
        <v>32</v>
      </c>
      <c r="H60" s="26"/>
      <c r="I60" s="94"/>
      <c r="J60" s="95"/>
      <c r="K60" s="90">
        <f>(K53*28)*E61</f>
        <v>472.5</v>
      </c>
      <c r="L60" s="172"/>
    </row>
    <row r="61">
      <c r="B61" s="96"/>
      <c r="C61" s="92" t="s">
        <v>43</v>
      </c>
      <c r="D61" s="11"/>
      <c r="E61" s="97">
        <v>0.01</v>
      </c>
      <c r="F61" s="145"/>
      <c r="G61" s="62"/>
      <c r="H61" s="63"/>
      <c r="I61" s="64"/>
      <c r="J61" s="65"/>
      <c r="K61" s="66"/>
      <c r="L61" s="172"/>
    </row>
    <row r="62">
      <c r="F62" s="129"/>
      <c r="G62" s="61"/>
      <c r="L62" s="172"/>
    </row>
    <row r="63">
      <c r="B63" s="67" t="s">
        <v>25</v>
      </c>
      <c r="L63" s="172"/>
    </row>
    <row r="64">
      <c r="L64" s="172"/>
    </row>
    <row r="65">
      <c r="B65" s="173" t="s">
        <v>0</v>
      </c>
      <c r="C65" s="3"/>
      <c r="D65" s="3"/>
      <c r="E65" s="3"/>
      <c r="F65" s="3"/>
      <c r="G65" s="3"/>
      <c r="H65" s="3"/>
      <c r="I65" s="3"/>
      <c r="J65" s="3"/>
      <c r="K65" s="4"/>
      <c r="L65" s="172"/>
    </row>
    <row r="66">
      <c r="B66" s="5"/>
      <c r="C66" s="6"/>
      <c r="D66" s="6"/>
      <c r="E66" s="6"/>
      <c r="F66" s="6"/>
      <c r="G66" s="6"/>
      <c r="H66" s="6"/>
      <c r="I66" s="6"/>
      <c r="J66" s="6"/>
      <c r="K66" s="7"/>
      <c r="L66" s="172"/>
    </row>
    <row r="67">
      <c r="B67" s="8"/>
      <c r="C67" s="8"/>
      <c r="D67" s="8"/>
      <c r="E67" s="8"/>
      <c r="F67" s="129"/>
      <c r="G67" s="8"/>
      <c r="L67" s="172"/>
    </row>
    <row r="68">
      <c r="A68" s="171" t="s">
        <v>72</v>
      </c>
      <c r="B68" s="175">
        <v>6.0</v>
      </c>
      <c r="C68" s="10"/>
      <c r="D68" s="10"/>
      <c r="E68" s="11"/>
      <c r="F68" s="128"/>
      <c r="G68" s="72" t="s">
        <v>73</v>
      </c>
      <c r="H68" s="10"/>
      <c r="I68" s="12" t="s">
        <v>2</v>
      </c>
      <c r="J68" s="13" t="s">
        <v>3</v>
      </c>
      <c r="K68" s="14" t="s">
        <v>4</v>
      </c>
      <c r="L68" s="172"/>
    </row>
    <row r="69">
      <c r="B69" s="15">
        <v>1.0</v>
      </c>
      <c r="C69" s="16" t="s">
        <v>5</v>
      </c>
      <c r="D69" s="11"/>
      <c r="E69" s="15">
        <v>600.0</v>
      </c>
      <c r="F69" s="128"/>
      <c r="G69" s="17" t="s">
        <v>6</v>
      </c>
      <c r="H69" s="18"/>
      <c r="I69" s="19">
        <f>E69</f>
        <v>600</v>
      </c>
      <c r="J69" s="20"/>
      <c r="K69" s="21"/>
      <c r="L69" s="172"/>
    </row>
    <row r="70">
      <c r="B70" s="22">
        <v>2.0</v>
      </c>
      <c r="C70" s="23" t="s">
        <v>7</v>
      </c>
      <c r="D70" s="11"/>
      <c r="E70" s="24">
        <v>0.85</v>
      </c>
      <c r="F70" s="150">
        <v>0.5</v>
      </c>
      <c r="G70" s="25" t="s">
        <v>8</v>
      </c>
      <c r="H70" s="26"/>
      <c r="I70" s="27">
        <f t="shared" ref="I70:I71" si="7">I69*J70</f>
        <v>510</v>
      </c>
      <c r="J70" s="28">
        <f t="shared" ref="J70:J71" si="8">E70</f>
        <v>0.85</v>
      </c>
      <c r="K70" s="29">
        <f>I70+(I70*E72)</f>
        <v>652.8</v>
      </c>
      <c r="L70" s="75">
        <f>K70/I69</f>
        <v>1.088</v>
      </c>
    </row>
    <row r="71">
      <c r="B71" s="30">
        <v>3.0</v>
      </c>
      <c r="C71" s="31" t="s">
        <v>9</v>
      </c>
      <c r="D71" s="11"/>
      <c r="E71" s="32">
        <v>0.72</v>
      </c>
      <c r="F71" s="154" t="s">
        <v>38</v>
      </c>
      <c r="G71" s="25" t="s">
        <v>10</v>
      </c>
      <c r="H71" s="26"/>
      <c r="I71" s="33">
        <f t="shared" si="7"/>
        <v>367.2</v>
      </c>
      <c r="J71" s="34">
        <f t="shared" si="8"/>
        <v>0.72</v>
      </c>
      <c r="K71" s="35">
        <f>I71+(I71*E72)</f>
        <v>470.016</v>
      </c>
      <c r="L71" s="75">
        <f>K71/K70</f>
        <v>0.72</v>
      </c>
    </row>
    <row r="72">
      <c r="B72" s="36">
        <v>4.0</v>
      </c>
      <c r="C72" s="37" t="s">
        <v>11</v>
      </c>
      <c r="D72" s="11"/>
      <c r="E72" s="38">
        <v>0.28</v>
      </c>
      <c r="F72" s="128"/>
      <c r="G72" s="25" t="s">
        <v>12</v>
      </c>
      <c r="H72" s="26"/>
      <c r="I72" s="39">
        <f>E74</f>
        <v>55</v>
      </c>
      <c r="J72" s="40">
        <f>E75</f>
        <v>0.2</v>
      </c>
      <c r="K72" s="41">
        <f>I72+(I72*E75)</f>
        <v>66</v>
      </c>
      <c r="L72" s="172"/>
    </row>
    <row r="73">
      <c r="B73" s="42">
        <v>5.0</v>
      </c>
      <c r="C73" s="43" t="s">
        <v>13</v>
      </c>
      <c r="D73" s="11"/>
      <c r="E73" s="44">
        <v>0.45</v>
      </c>
      <c r="F73" s="128"/>
      <c r="G73" s="25" t="s">
        <v>14</v>
      </c>
      <c r="H73" s="26"/>
      <c r="I73" s="45">
        <f>E76</f>
        <v>10500</v>
      </c>
      <c r="J73" s="46">
        <f>E77</f>
        <v>0.15</v>
      </c>
      <c r="K73" s="47">
        <f>I73+(I73*J73)</f>
        <v>12075</v>
      </c>
      <c r="L73" s="172">
        <f>K73/3</f>
        <v>4025</v>
      </c>
    </row>
    <row r="74">
      <c r="B74" s="48">
        <v>6.0</v>
      </c>
      <c r="C74" s="49" t="s">
        <v>15</v>
      </c>
      <c r="D74" s="11"/>
      <c r="E74" s="50">
        <v>55.0</v>
      </c>
      <c r="F74" s="128"/>
      <c r="G74" s="25" t="s">
        <v>16</v>
      </c>
      <c r="H74" s="26"/>
      <c r="I74" s="45">
        <f>IFERROR(I70/E78,0)</f>
        <v>127.5</v>
      </c>
      <c r="J74" s="51"/>
      <c r="K74" s="47">
        <f>IFERROR(K70/K76,0)</f>
        <v>108.8</v>
      </c>
      <c r="L74" s="172"/>
    </row>
    <row r="75">
      <c r="B75" s="48">
        <v>7.0</v>
      </c>
      <c r="C75" s="49" t="s">
        <v>17</v>
      </c>
      <c r="D75" s="11"/>
      <c r="E75" s="52">
        <v>0.2</v>
      </c>
      <c r="F75" s="128"/>
      <c r="G75" s="25" t="s">
        <v>18</v>
      </c>
      <c r="H75" s="26"/>
      <c r="I75" s="53">
        <f>IFERROR(I73/I71,0)</f>
        <v>28.59477124</v>
      </c>
      <c r="J75" s="51"/>
      <c r="K75" s="54">
        <f>IFERROR(K73/K71,0)</f>
        <v>25.69061479</v>
      </c>
      <c r="L75" s="172"/>
    </row>
    <row r="76">
      <c r="B76" s="55">
        <v>8.0</v>
      </c>
      <c r="C76" s="56" t="s">
        <v>19</v>
      </c>
      <c r="D76" s="11"/>
      <c r="E76" s="57">
        <v>10500.0</v>
      </c>
      <c r="F76" s="163"/>
      <c r="G76" s="25" t="s">
        <v>20</v>
      </c>
      <c r="H76" s="26"/>
      <c r="I76" s="59"/>
      <c r="J76" s="51"/>
      <c r="K76" s="47">
        <f>E78+(E78*E79)</f>
        <v>6</v>
      </c>
      <c r="L76" s="172"/>
    </row>
    <row r="77">
      <c r="B77" s="55">
        <v>9.0</v>
      </c>
      <c r="C77" s="56" t="s">
        <v>21</v>
      </c>
      <c r="D77" s="11"/>
      <c r="E77" s="60">
        <v>0.15</v>
      </c>
      <c r="F77" s="145"/>
      <c r="G77" s="25" t="s">
        <v>22</v>
      </c>
      <c r="H77" s="26"/>
      <c r="I77" s="45">
        <f>IFERROR(I73/E78,0)</f>
        <v>2625</v>
      </c>
      <c r="J77" s="51"/>
      <c r="K77" s="47">
        <f>IFERROR(K73/K76,0)</f>
        <v>2012.5</v>
      </c>
      <c r="L77" s="172"/>
    </row>
    <row r="78">
      <c r="B78" s="55">
        <v>10.0</v>
      </c>
      <c r="C78" s="56" t="s">
        <v>23</v>
      </c>
      <c r="D78" s="11"/>
      <c r="E78" s="57">
        <v>4.0</v>
      </c>
      <c r="F78" s="145"/>
      <c r="G78" s="25"/>
      <c r="H78" s="26"/>
      <c r="I78" s="59"/>
      <c r="J78" s="51"/>
      <c r="K78" s="146"/>
      <c r="L78" s="172"/>
    </row>
    <row r="79">
      <c r="B79" s="55">
        <v>11.0</v>
      </c>
      <c r="C79" s="56" t="s">
        <v>24</v>
      </c>
      <c r="D79" s="11"/>
      <c r="E79" s="60">
        <v>0.5</v>
      </c>
      <c r="F79" s="145"/>
      <c r="G79" s="147" t="s">
        <v>30</v>
      </c>
      <c r="H79" s="26"/>
      <c r="I79" s="88"/>
      <c r="J79" s="89"/>
      <c r="K79" s="90">
        <f>(K73*28)*E80</f>
        <v>0</v>
      </c>
      <c r="L79" s="172"/>
    </row>
    <row r="80">
      <c r="B80" s="91">
        <v>12.0</v>
      </c>
      <c r="C80" s="92" t="s">
        <v>31</v>
      </c>
      <c r="D80" s="11"/>
      <c r="E80" s="93">
        <v>0.0</v>
      </c>
      <c r="F80" s="145"/>
      <c r="G80" s="147" t="s">
        <v>32</v>
      </c>
      <c r="H80" s="26"/>
      <c r="I80" s="94"/>
      <c r="J80" s="95"/>
      <c r="K80" s="90">
        <f>(K73*28)*E81</f>
        <v>3381</v>
      </c>
      <c r="L80" s="172"/>
    </row>
    <row r="81">
      <c r="B81" s="96"/>
      <c r="C81" s="92" t="s">
        <v>43</v>
      </c>
      <c r="D81" s="11"/>
      <c r="E81" s="93">
        <v>0.01</v>
      </c>
      <c r="F81" s="145"/>
      <c r="G81" s="62"/>
      <c r="H81" s="63"/>
      <c r="I81" s="64"/>
      <c r="J81" s="65"/>
      <c r="K81" s="66"/>
      <c r="L81" s="172"/>
    </row>
    <row r="82">
      <c r="F82" s="129"/>
      <c r="L82" s="172"/>
    </row>
    <row r="83">
      <c r="A83" s="176"/>
      <c r="B83" s="177" t="s">
        <v>25</v>
      </c>
      <c r="L83" s="172"/>
    </row>
    <row r="84">
      <c r="A84" s="178"/>
      <c r="L84" s="172"/>
    </row>
    <row r="85">
      <c r="A85" s="179" t="s">
        <v>74</v>
      </c>
      <c r="B85" s="161" t="s">
        <v>75</v>
      </c>
      <c r="C85" s="180"/>
      <c r="D85" s="180"/>
      <c r="E85" s="180"/>
      <c r="F85" s="180"/>
      <c r="G85" s="180"/>
      <c r="H85" s="180"/>
      <c r="I85" s="180"/>
      <c r="J85" s="180"/>
      <c r="K85" s="181"/>
      <c r="L85" s="172"/>
    </row>
    <row r="86">
      <c r="A86" s="182" t="s">
        <v>45</v>
      </c>
      <c r="B86" s="183"/>
      <c r="C86" s="184"/>
      <c r="D86" s="184"/>
      <c r="E86" s="184"/>
      <c r="F86" s="184"/>
      <c r="G86" s="184"/>
      <c r="H86" s="184"/>
      <c r="I86" s="184"/>
      <c r="J86" s="184"/>
      <c r="K86" s="185"/>
      <c r="L86" s="172"/>
    </row>
    <row r="87">
      <c r="A87" s="171"/>
      <c r="B87" s="8"/>
      <c r="C87" s="8"/>
      <c r="D87" s="8"/>
      <c r="E87" s="8"/>
      <c r="F87" s="129"/>
      <c r="G87" s="8"/>
      <c r="L87" s="172"/>
    </row>
    <row r="88">
      <c r="B88" s="9" t="s">
        <v>26</v>
      </c>
      <c r="C88" s="10"/>
      <c r="D88" s="10"/>
      <c r="E88" s="11"/>
      <c r="F88" s="128"/>
      <c r="G88" s="72" t="s">
        <v>76</v>
      </c>
      <c r="H88" s="10"/>
      <c r="I88" s="12" t="s">
        <v>2</v>
      </c>
      <c r="J88" s="13" t="s">
        <v>3</v>
      </c>
      <c r="K88" s="14" t="s">
        <v>4</v>
      </c>
      <c r="L88" s="172"/>
    </row>
    <row r="89">
      <c r="B89" s="15">
        <v>1.0</v>
      </c>
      <c r="C89" s="16" t="s">
        <v>5</v>
      </c>
      <c r="D89" s="11"/>
      <c r="E89" s="15">
        <v>500.0</v>
      </c>
      <c r="F89" s="128"/>
      <c r="G89" s="17" t="s">
        <v>6</v>
      </c>
      <c r="H89" s="18"/>
      <c r="I89" s="19">
        <f>E89</f>
        <v>500</v>
      </c>
      <c r="J89" s="20"/>
      <c r="K89" s="21"/>
      <c r="L89" s="172"/>
    </row>
    <row r="90">
      <c r="B90" s="22">
        <v>2.0</v>
      </c>
      <c r="C90" s="23" t="s">
        <v>7</v>
      </c>
      <c r="D90" s="11"/>
      <c r="E90" s="24">
        <v>0.89</v>
      </c>
      <c r="F90" s="128"/>
      <c r="G90" s="25" t="s">
        <v>8</v>
      </c>
      <c r="H90" s="26"/>
      <c r="I90" s="27">
        <f t="shared" ref="I90:I91" si="9">I89*J90</f>
        <v>445</v>
      </c>
      <c r="J90" s="28">
        <f t="shared" ref="J90:J91" si="10">E90</f>
        <v>0.89</v>
      </c>
      <c r="K90" s="29">
        <f>I90+(I90*E92)</f>
        <v>569.6</v>
      </c>
      <c r="L90" s="75">
        <f>K90/I89</f>
        <v>1.1392</v>
      </c>
    </row>
    <row r="91">
      <c r="B91" s="30">
        <v>3.0</v>
      </c>
      <c r="C91" s="31" t="s">
        <v>9</v>
      </c>
      <c r="D91" s="11"/>
      <c r="E91" s="32">
        <v>0.6</v>
      </c>
      <c r="F91" s="128"/>
      <c r="G91" s="25" t="s">
        <v>10</v>
      </c>
      <c r="H91" s="26"/>
      <c r="I91" s="33">
        <f t="shared" si="9"/>
        <v>267</v>
      </c>
      <c r="J91" s="34">
        <f t="shared" si="10"/>
        <v>0.6</v>
      </c>
      <c r="K91" s="35">
        <f>I91+(I91*E92)</f>
        <v>341.76</v>
      </c>
      <c r="L91" s="75">
        <f>K91/K90</f>
        <v>0.6</v>
      </c>
    </row>
    <row r="92">
      <c r="B92" s="36">
        <v>4.0</v>
      </c>
      <c r="C92" s="37" t="s">
        <v>11</v>
      </c>
      <c r="D92" s="11"/>
      <c r="E92" s="38">
        <v>0.28</v>
      </c>
      <c r="F92" s="128"/>
      <c r="G92" s="25" t="s">
        <v>12</v>
      </c>
      <c r="H92" s="26"/>
      <c r="I92" s="39">
        <f>E94</f>
        <v>42</v>
      </c>
      <c r="J92" s="40">
        <f>E95</f>
        <v>0.5</v>
      </c>
      <c r="K92" s="41">
        <f>I92+(I92*E95)</f>
        <v>63</v>
      </c>
      <c r="L92" s="172"/>
    </row>
    <row r="93">
      <c r="B93" s="42">
        <v>5.0</v>
      </c>
      <c r="C93" s="43" t="s">
        <v>13</v>
      </c>
      <c r="D93" s="11"/>
      <c r="E93" s="44">
        <v>0.45</v>
      </c>
      <c r="F93" s="128"/>
      <c r="G93" s="25" t="s">
        <v>14</v>
      </c>
      <c r="H93" s="26"/>
      <c r="I93" s="45">
        <f>E96</f>
        <v>1000</v>
      </c>
      <c r="J93" s="46">
        <f>E97</f>
        <v>0.25</v>
      </c>
      <c r="K93" s="47">
        <f>I93+(I93*J93)</f>
        <v>1250</v>
      </c>
      <c r="L93" s="172"/>
    </row>
    <row r="94">
      <c r="B94" s="48">
        <v>6.0</v>
      </c>
      <c r="C94" s="49" t="s">
        <v>15</v>
      </c>
      <c r="D94" s="11"/>
      <c r="E94" s="50">
        <v>42.0</v>
      </c>
      <c r="F94" s="128"/>
      <c r="G94" s="25" t="s">
        <v>16</v>
      </c>
      <c r="H94" s="26"/>
      <c r="I94" s="45">
        <f>IFERROR(I90/E98,0)</f>
        <v>74.16666667</v>
      </c>
      <c r="J94" s="51"/>
      <c r="K94" s="47">
        <f>IFERROR(K90/K96,0)</f>
        <v>93.99339934</v>
      </c>
      <c r="L94" s="172"/>
    </row>
    <row r="95">
      <c r="B95" s="48">
        <v>7.0</v>
      </c>
      <c r="C95" s="49" t="s">
        <v>17</v>
      </c>
      <c r="D95" s="11"/>
      <c r="E95" s="52">
        <v>0.5</v>
      </c>
      <c r="F95" s="128"/>
      <c r="G95" s="25" t="s">
        <v>18</v>
      </c>
      <c r="H95" s="26"/>
      <c r="I95" s="53">
        <f>IFERROR(I93/I91,0)</f>
        <v>3.745318352</v>
      </c>
      <c r="J95" s="51"/>
      <c r="K95" s="54">
        <f>IFERROR(K93/K91,0)</f>
        <v>3.657537453</v>
      </c>
      <c r="L95" s="172"/>
    </row>
    <row r="96">
      <c r="B96" s="55">
        <v>8.0</v>
      </c>
      <c r="C96" s="56" t="s">
        <v>19</v>
      </c>
      <c r="D96" s="11"/>
      <c r="E96" s="57">
        <v>1000.0</v>
      </c>
      <c r="F96" s="163"/>
      <c r="G96" s="25" t="s">
        <v>20</v>
      </c>
      <c r="H96" s="26"/>
      <c r="I96" s="59"/>
      <c r="J96" s="51"/>
      <c r="K96" s="47">
        <f>E98+(E98*E101)</f>
        <v>6.06</v>
      </c>
      <c r="L96" s="172"/>
    </row>
    <row r="97">
      <c r="B97" s="55">
        <v>9.0</v>
      </c>
      <c r="C97" s="56" t="s">
        <v>21</v>
      </c>
      <c r="D97" s="11"/>
      <c r="E97" s="60">
        <v>0.25</v>
      </c>
      <c r="F97" s="145"/>
      <c r="G97" s="25" t="s">
        <v>22</v>
      </c>
      <c r="H97" s="26"/>
      <c r="I97" s="45">
        <f>IFERROR(I93/E98,0)</f>
        <v>166.6666667</v>
      </c>
      <c r="J97" s="51"/>
      <c r="K97" s="47">
        <f>IFERROR(K93/K96,0)</f>
        <v>206.2706271</v>
      </c>
      <c r="L97" s="172"/>
    </row>
    <row r="98">
      <c r="B98" s="55">
        <v>10.0</v>
      </c>
      <c r="C98" s="56" t="s">
        <v>23</v>
      </c>
      <c r="D98" s="11"/>
      <c r="E98" s="57">
        <v>6.0</v>
      </c>
      <c r="F98" s="145"/>
      <c r="G98" s="25"/>
      <c r="H98" s="26"/>
      <c r="I98" s="59"/>
      <c r="J98" s="51"/>
      <c r="K98" s="146"/>
      <c r="L98" s="172"/>
    </row>
    <row r="99">
      <c r="B99" s="55">
        <v>11.0</v>
      </c>
      <c r="C99" s="56" t="s">
        <v>24</v>
      </c>
      <c r="D99" s="11"/>
      <c r="E99" s="60">
        <v>0.5</v>
      </c>
      <c r="F99" s="145"/>
      <c r="G99" s="147" t="s">
        <v>30</v>
      </c>
      <c r="H99" s="26"/>
      <c r="I99" s="88"/>
      <c r="J99" s="89"/>
      <c r="K99" s="90">
        <f>(K93*28)*E100</f>
        <v>0</v>
      </c>
      <c r="L99" s="172"/>
    </row>
    <row r="100">
      <c r="B100" s="91">
        <v>12.0</v>
      </c>
      <c r="C100" s="92" t="s">
        <v>31</v>
      </c>
      <c r="D100" s="11"/>
      <c r="E100" s="93">
        <v>0.0</v>
      </c>
      <c r="F100" s="145"/>
      <c r="G100" s="147" t="s">
        <v>32</v>
      </c>
      <c r="H100" s="26"/>
      <c r="I100" s="94"/>
      <c r="J100" s="95"/>
      <c r="K100" s="90">
        <f>(K93*28)*E101</f>
        <v>350</v>
      </c>
      <c r="L100" s="172"/>
    </row>
    <row r="101">
      <c r="B101" s="96"/>
      <c r="C101" s="92" t="s">
        <v>43</v>
      </c>
      <c r="D101" s="11"/>
      <c r="E101" s="93">
        <v>0.01</v>
      </c>
      <c r="F101" s="145"/>
      <c r="G101" s="62"/>
      <c r="H101" s="63"/>
      <c r="I101" s="64"/>
      <c r="J101" s="65"/>
      <c r="K101" s="66"/>
      <c r="L101" s="172"/>
    </row>
    <row r="102">
      <c r="L102" s="172"/>
    </row>
    <row r="103">
      <c r="L103" s="172"/>
    </row>
    <row r="104">
      <c r="L104" s="172"/>
    </row>
    <row r="105">
      <c r="B105" s="173" t="s">
        <v>0</v>
      </c>
      <c r="C105" s="3"/>
      <c r="D105" s="3"/>
      <c r="E105" s="3"/>
      <c r="F105" s="3"/>
      <c r="G105" s="3"/>
      <c r="H105" s="3"/>
      <c r="I105" s="3"/>
      <c r="J105" s="3"/>
      <c r="K105" s="4"/>
      <c r="L105" s="172"/>
    </row>
    <row r="106">
      <c r="B106" s="5"/>
      <c r="C106" s="6"/>
      <c r="D106" s="6"/>
      <c r="E106" s="6"/>
      <c r="F106" s="6"/>
      <c r="G106" s="6"/>
      <c r="H106" s="6"/>
      <c r="I106" s="6"/>
      <c r="J106" s="6"/>
      <c r="K106" s="7"/>
      <c r="L106" s="172"/>
    </row>
    <row r="107">
      <c r="A107" s="171" t="s">
        <v>77</v>
      </c>
      <c r="B107" s="8"/>
      <c r="C107" s="8"/>
      <c r="D107" s="8"/>
      <c r="E107" s="8"/>
      <c r="F107" s="129"/>
      <c r="G107" s="8"/>
      <c r="L107" s="172"/>
    </row>
    <row r="108">
      <c r="B108" s="9" t="s">
        <v>26</v>
      </c>
      <c r="C108" s="10"/>
      <c r="D108" s="10"/>
      <c r="E108" s="11"/>
      <c r="F108" s="128"/>
      <c r="G108" s="72" t="s">
        <v>78</v>
      </c>
      <c r="H108" s="10"/>
      <c r="I108" s="12" t="s">
        <v>2</v>
      </c>
      <c r="J108" s="13" t="s">
        <v>3</v>
      </c>
      <c r="K108" s="14" t="s">
        <v>4</v>
      </c>
      <c r="L108" s="172"/>
    </row>
    <row r="109">
      <c r="B109" s="15">
        <v>1.0</v>
      </c>
      <c r="C109" s="16" t="s">
        <v>5</v>
      </c>
      <c r="D109" s="11"/>
      <c r="E109" s="15">
        <v>649.0</v>
      </c>
      <c r="F109" s="128"/>
      <c r="G109" s="17" t="s">
        <v>6</v>
      </c>
      <c r="H109" s="18"/>
      <c r="I109" s="19">
        <f>E109</f>
        <v>649</v>
      </c>
      <c r="J109" s="20"/>
      <c r="K109" s="21"/>
      <c r="L109" s="172"/>
    </row>
    <row r="110">
      <c r="B110" s="22">
        <v>2.0</v>
      </c>
      <c r="C110" s="23" t="s">
        <v>7</v>
      </c>
      <c r="D110" s="11"/>
      <c r="E110" s="24">
        <v>0.9</v>
      </c>
      <c r="F110" s="150">
        <v>0.85</v>
      </c>
      <c r="G110" s="25" t="s">
        <v>8</v>
      </c>
      <c r="H110" s="26"/>
      <c r="I110" s="27">
        <f t="shared" ref="I110:I111" si="11">I109*J110</f>
        <v>584.1</v>
      </c>
      <c r="J110" s="28">
        <f t="shared" ref="J110:J111" si="12">E110</f>
        <v>0.9</v>
      </c>
      <c r="K110" s="29">
        <f>I110+(I110*E112)</f>
        <v>747.648</v>
      </c>
      <c r="L110" s="75">
        <f>K110/I109</f>
        <v>1.152</v>
      </c>
    </row>
    <row r="111">
      <c r="B111" s="30">
        <v>3.0</v>
      </c>
      <c r="C111" s="31" t="s">
        <v>9</v>
      </c>
      <c r="D111" s="11"/>
      <c r="E111" s="32">
        <v>0.4</v>
      </c>
      <c r="F111" s="154" t="s">
        <v>38</v>
      </c>
      <c r="G111" s="25" t="s">
        <v>10</v>
      </c>
      <c r="H111" s="26"/>
      <c r="I111" s="33">
        <f t="shared" si="11"/>
        <v>233.64</v>
      </c>
      <c r="J111" s="34">
        <f t="shared" si="12"/>
        <v>0.4</v>
      </c>
      <c r="K111" s="35">
        <f>I111+(I111*E112)</f>
        <v>299.0592</v>
      </c>
      <c r="L111" s="75">
        <f>K111/K110</f>
        <v>0.4</v>
      </c>
    </row>
    <row r="112">
      <c r="B112" s="36">
        <v>4.0</v>
      </c>
      <c r="C112" s="37" t="s">
        <v>11</v>
      </c>
      <c r="D112" s="11"/>
      <c r="E112" s="38">
        <v>0.28</v>
      </c>
      <c r="F112" s="128"/>
      <c r="G112" s="25" t="s">
        <v>12</v>
      </c>
      <c r="H112" s="26"/>
      <c r="I112" s="39">
        <f>E114</f>
        <v>43</v>
      </c>
      <c r="J112" s="40">
        <f>E115</f>
        <v>0.52</v>
      </c>
      <c r="K112" s="41">
        <f>I112+(I112*E115)</f>
        <v>65.36</v>
      </c>
      <c r="L112" s="172"/>
    </row>
    <row r="113">
      <c r="B113" s="42">
        <v>5.0</v>
      </c>
      <c r="C113" s="43" t="s">
        <v>13</v>
      </c>
      <c r="D113" s="11"/>
      <c r="E113" s="44">
        <v>0.45</v>
      </c>
      <c r="F113" s="128"/>
      <c r="G113" s="25" t="s">
        <v>14</v>
      </c>
      <c r="H113" s="26"/>
      <c r="I113" s="45">
        <f>E116</f>
        <v>3300</v>
      </c>
      <c r="J113" s="46">
        <f>E117</f>
        <v>0.25</v>
      </c>
      <c r="K113" s="47">
        <f>I113+(I113*J113)</f>
        <v>4125</v>
      </c>
      <c r="L113" s="172">
        <f>K113/3</f>
        <v>1375</v>
      </c>
    </row>
    <row r="114">
      <c r="B114" s="48">
        <v>6.0</v>
      </c>
      <c r="C114" s="49" t="s">
        <v>15</v>
      </c>
      <c r="D114" s="11"/>
      <c r="E114" s="50">
        <v>43.0</v>
      </c>
      <c r="F114" s="128"/>
      <c r="G114" s="25" t="s">
        <v>16</v>
      </c>
      <c r="H114" s="26"/>
      <c r="I114" s="45">
        <f>IFERROR(I110/E118,0)</f>
        <v>73.0125</v>
      </c>
      <c r="J114" s="51"/>
      <c r="K114" s="47">
        <f>IFERROR(K110/K116,0)</f>
        <v>62.304</v>
      </c>
      <c r="L114" s="172"/>
    </row>
    <row r="115">
      <c r="B115" s="48">
        <v>7.0</v>
      </c>
      <c r="C115" s="49" t="s">
        <v>17</v>
      </c>
      <c r="D115" s="11"/>
      <c r="E115" s="52">
        <v>0.52</v>
      </c>
      <c r="F115" s="128"/>
      <c r="G115" s="25" t="s">
        <v>18</v>
      </c>
      <c r="H115" s="26"/>
      <c r="I115" s="53">
        <f>IFERROR(I113/I111,0)</f>
        <v>14.12429379</v>
      </c>
      <c r="J115" s="51"/>
      <c r="K115" s="54">
        <f>IFERROR(K113/K111,0)</f>
        <v>13.79325565</v>
      </c>
      <c r="L115" s="172"/>
    </row>
    <row r="116">
      <c r="B116" s="55">
        <v>8.0</v>
      </c>
      <c r="C116" s="56" t="s">
        <v>19</v>
      </c>
      <c r="D116" s="11"/>
      <c r="E116" s="57">
        <v>3300.0</v>
      </c>
      <c r="F116" s="163"/>
      <c r="G116" s="25" t="s">
        <v>20</v>
      </c>
      <c r="H116" s="26"/>
      <c r="I116" s="59"/>
      <c r="J116" s="51"/>
      <c r="K116" s="47">
        <f>E118+(E118*E119)</f>
        <v>12</v>
      </c>
      <c r="L116" s="172"/>
    </row>
    <row r="117">
      <c r="B117" s="55">
        <v>9.0</v>
      </c>
      <c r="C117" s="56" t="s">
        <v>21</v>
      </c>
      <c r="D117" s="11"/>
      <c r="E117" s="60">
        <v>0.25</v>
      </c>
      <c r="F117" s="145"/>
      <c r="G117" s="25" t="s">
        <v>22</v>
      </c>
      <c r="H117" s="26"/>
      <c r="I117" s="45">
        <f>IFERROR(I113/E118,0)</f>
        <v>412.5</v>
      </c>
      <c r="J117" s="51"/>
      <c r="K117" s="47">
        <f>IFERROR(K113/K116,0)</f>
        <v>343.75</v>
      </c>
      <c r="L117" s="172"/>
      <c r="M117" s="186"/>
    </row>
    <row r="118">
      <c r="B118" s="55">
        <v>10.0</v>
      </c>
      <c r="C118" s="56" t="s">
        <v>23</v>
      </c>
      <c r="D118" s="11"/>
      <c r="E118" s="57">
        <v>8.0</v>
      </c>
      <c r="F118" s="145"/>
      <c r="G118" s="25"/>
      <c r="H118" s="26"/>
      <c r="I118" s="59"/>
      <c r="J118" s="51"/>
      <c r="K118" s="146"/>
      <c r="L118" s="172"/>
    </row>
    <row r="119">
      <c r="B119" s="55">
        <v>11.0</v>
      </c>
      <c r="C119" s="56" t="s">
        <v>24</v>
      </c>
      <c r="D119" s="11"/>
      <c r="E119" s="60">
        <v>0.5</v>
      </c>
      <c r="F119" s="145"/>
      <c r="G119" s="147" t="s">
        <v>30</v>
      </c>
      <c r="H119" s="26"/>
      <c r="I119" s="88"/>
      <c r="J119" s="89"/>
      <c r="K119" s="90">
        <f>(K113*28)*E120</f>
        <v>17325</v>
      </c>
      <c r="L119" s="172"/>
    </row>
    <row r="120">
      <c r="B120" s="91">
        <v>12.0</v>
      </c>
      <c r="C120" s="92" t="s">
        <v>31</v>
      </c>
      <c r="D120" s="11"/>
      <c r="E120" s="93">
        <v>0.15</v>
      </c>
      <c r="F120" s="145"/>
      <c r="G120" s="147" t="s">
        <v>32</v>
      </c>
      <c r="H120" s="26"/>
      <c r="I120" s="94"/>
      <c r="J120" s="95"/>
      <c r="K120" s="90">
        <f>(K113*28)*E121</f>
        <v>1155</v>
      </c>
      <c r="L120" s="172"/>
    </row>
    <row r="121">
      <c r="B121" s="96"/>
      <c r="C121" s="92" t="s">
        <v>43</v>
      </c>
      <c r="D121" s="11"/>
      <c r="E121" s="93">
        <v>0.01</v>
      </c>
      <c r="F121" s="145"/>
      <c r="G121" s="62"/>
      <c r="H121" s="63"/>
      <c r="I121" s="64"/>
      <c r="J121" s="65"/>
      <c r="K121" s="66"/>
      <c r="L121" s="172"/>
    </row>
    <row r="122">
      <c r="F122" s="129"/>
      <c r="G122" s="61"/>
      <c r="L122" s="172"/>
    </row>
    <row r="123">
      <c r="B123" s="67" t="s">
        <v>25</v>
      </c>
      <c r="L123" s="172"/>
    </row>
    <row r="124">
      <c r="L124" s="172"/>
    </row>
    <row r="125">
      <c r="B125" s="187"/>
      <c r="C125" s="187"/>
      <c r="D125" s="187"/>
      <c r="E125" s="187"/>
      <c r="F125" s="188"/>
      <c r="G125" s="187"/>
      <c r="H125" s="187"/>
      <c r="I125" s="187"/>
      <c r="J125" s="187"/>
      <c r="K125" s="187"/>
      <c r="L125" s="172"/>
    </row>
    <row r="126">
      <c r="B126" s="173" t="s">
        <v>0</v>
      </c>
      <c r="C126" s="3"/>
      <c r="D126" s="3"/>
      <c r="E126" s="3"/>
      <c r="F126" s="3"/>
      <c r="G126" s="3"/>
      <c r="H126" s="3"/>
      <c r="I126" s="3"/>
      <c r="J126" s="3"/>
      <c r="K126" s="4"/>
      <c r="L126" s="172"/>
    </row>
    <row r="127">
      <c r="B127" s="5"/>
      <c r="C127" s="6"/>
      <c r="D127" s="6"/>
      <c r="E127" s="6"/>
      <c r="F127" s="6"/>
      <c r="G127" s="6"/>
      <c r="H127" s="6"/>
      <c r="I127" s="6"/>
      <c r="J127" s="6"/>
      <c r="K127" s="7"/>
      <c r="L127" s="172"/>
    </row>
    <row r="128">
      <c r="B128" s="8"/>
      <c r="C128" s="8"/>
      <c r="D128" s="8"/>
      <c r="E128" s="8"/>
      <c r="F128" s="129"/>
      <c r="G128" s="8"/>
      <c r="L128" s="172"/>
    </row>
    <row r="129">
      <c r="B129" s="8"/>
      <c r="C129" s="8"/>
      <c r="D129" s="8"/>
      <c r="E129" s="8"/>
      <c r="F129" s="129"/>
      <c r="G129" s="8"/>
      <c r="L129" s="172"/>
    </row>
    <row r="130">
      <c r="B130" s="8"/>
      <c r="C130" s="8"/>
      <c r="D130" s="8"/>
      <c r="E130" s="8"/>
      <c r="F130" s="129"/>
      <c r="G130" s="8"/>
      <c r="L130" s="172"/>
    </row>
    <row r="131">
      <c r="B131" s="8"/>
      <c r="C131" s="8"/>
      <c r="D131" s="8"/>
      <c r="E131" s="8"/>
      <c r="F131" s="129"/>
      <c r="G131" s="8"/>
      <c r="L131" s="172"/>
    </row>
    <row r="132">
      <c r="B132" s="8"/>
      <c r="C132" s="8"/>
      <c r="D132" s="8"/>
      <c r="E132" s="8"/>
      <c r="F132" s="129"/>
      <c r="G132" s="8"/>
      <c r="L132" s="172"/>
    </row>
    <row r="133">
      <c r="B133" s="8"/>
      <c r="C133" s="8"/>
      <c r="D133" s="8"/>
      <c r="E133" s="8"/>
      <c r="F133" s="129"/>
      <c r="G133" s="8"/>
      <c r="L133" s="172"/>
    </row>
    <row r="134">
      <c r="B134" s="8"/>
      <c r="C134" s="8"/>
      <c r="D134" s="8"/>
      <c r="E134" s="8"/>
      <c r="F134" s="129"/>
      <c r="G134" s="8"/>
      <c r="L134" s="172"/>
    </row>
    <row r="135">
      <c r="B135" s="8"/>
      <c r="C135" s="8"/>
      <c r="D135" s="8"/>
      <c r="E135" s="8"/>
      <c r="F135" s="129"/>
      <c r="G135" s="8"/>
      <c r="L135" s="172"/>
    </row>
    <row r="136">
      <c r="B136" s="8"/>
      <c r="C136" s="8"/>
      <c r="D136" s="8"/>
      <c r="E136" s="8"/>
      <c r="F136" s="129"/>
      <c r="G136" s="8"/>
      <c r="L136" s="172"/>
    </row>
    <row r="137">
      <c r="B137" s="8"/>
      <c r="C137" s="8"/>
      <c r="D137" s="8"/>
      <c r="E137" s="8"/>
      <c r="F137" s="129"/>
      <c r="G137" s="8"/>
      <c r="L137" s="172"/>
    </row>
    <row r="138">
      <c r="B138" s="8"/>
      <c r="C138" s="8"/>
      <c r="D138" s="8"/>
      <c r="E138" s="8"/>
      <c r="F138" s="129"/>
      <c r="G138" s="8"/>
      <c r="L138" s="172"/>
    </row>
    <row r="139">
      <c r="B139" s="8"/>
      <c r="C139" s="8"/>
      <c r="D139" s="8"/>
      <c r="E139" s="8"/>
      <c r="F139" s="129"/>
      <c r="G139" s="8"/>
      <c r="L139" s="172"/>
    </row>
    <row r="140">
      <c r="B140" s="8"/>
      <c r="C140" s="8"/>
      <c r="D140" s="8"/>
      <c r="E140" s="8"/>
      <c r="F140" s="129"/>
      <c r="G140" s="8"/>
      <c r="L140" s="172"/>
    </row>
    <row r="141">
      <c r="B141" s="8"/>
      <c r="C141" s="8"/>
      <c r="D141" s="8"/>
      <c r="E141" s="8"/>
      <c r="F141" s="129"/>
      <c r="G141" s="8"/>
      <c r="L141" s="172"/>
    </row>
    <row r="142">
      <c r="B142" s="8"/>
      <c r="C142" s="8"/>
      <c r="D142" s="8"/>
      <c r="E142" s="8"/>
      <c r="F142" s="129"/>
      <c r="G142" s="8"/>
      <c r="L142" s="172"/>
    </row>
    <row r="143">
      <c r="B143" s="8"/>
      <c r="C143" s="8"/>
      <c r="D143" s="8"/>
      <c r="E143" s="8"/>
      <c r="F143" s="129"/>
      <c r="G143" s="8"/>
      <c r="L143" s="172"/>
    </row>
    <row r="144">
      <c r="B144" s="8"/>
      <c r="C144" s="8"/>
      <c r="D144" s="8"/>
      <c r="E144" s="8"/>
      <c r="F144" s="129"/>
      <c r="G144" s="8"/>
      <c r="L144" s="172"/>
    </row>
    <row r="145">
      <c r="B145" s="8"/>
      <c r="C145" s="8"/>
      <c r="D145" s="8"/>
      <c r="E145" s="8"/>
      <c r="F145" s="129"/>
      <c r="G145" s="8"/>
      <c r="L145" s="172"/>
    </row>
    <row r="146">
      <c r="B146" s="8"/>
      <c r="C146" s="8"/>
      <c r="D146" s="8"/>
      <c r="E146" s="8"/>
      <c r="F146" s="129"/>
      <c r="G146" s="8"/>
      <c r="L146" s="172"/>
    </row>
    <row r="147">
      <c r="B147" s="8"/>
      <c r="C147" s="8"/>
      <c r="D147" s="8"/>
      <c r="E147" s="8"/>
      <c r="F147" s="129"/>
      <c r="G147" s="8"/>
      <c r="L147" s="172"/>
    </row>
    <row r="148">
      <c r="B148" s="8"/>
      <c r="C148" s="8"/>
      <c r="D148" s="8"/>
      <c r="E148" s="8"/>
      <c r="F148" s="129"/>
      <c r="G148" s="8"/>
      <c r="L148" s="172"/>
    </row>
    <row r="149">
      <c r="B149" s="8"/>
      <c r="C149" s="8"/>
      <c r="D149" s="8"/>
      <c r="E149" s="8"/>
      <c r="F149" s="129"/>
      <c r="G149" s="8"/>
      <c r="L149" s="172"/>
    </row>
    <row r="150">
      <c r="B150" s="8"/>
      <c r="C150" s="8"/>
      <c r="D150" s="8"/>
      <c r="E150" s="8"/>
      <c r="F150" s="129"/>
      <c r="G150" s="8"/>
      <c r="L150" s="172"/>
    </row>
    <row r="151">
      <c r="B151" s="8"/>
      <c r="C151" s="8"/>
      <c r="D151" s="8"/>
      <c r="E151" s="8"/>
      <c r="F151" s="129"/>
      <c r="G151" s="8"/>
      <c r="L151" s="172"/>
    </row>
    <row r="152">
      <c r="B152" s="8"/>
      <c r="C152" s="8"/>
      <c r="D152" s="8"/>
      <c r="E152" s="8"/>
      <c r="F152" s="129"/>
      <c r="G152" s="8"/>
      <c r="L152" s="172"/>
    </row>
    <row r="153">
      <c r="B153" s="8"/>
      <c r="C153" s="8"/>
      <c r="D153" s="8"/>
      <c r="E153" s="8"/>
      <c r="F153" s="129"/>
      <c r="G153" s="8"/>
      <c r="L153" s="172"/>
    </row>
    <row r="154">
      <c r="B154" s="8"/>
      <c r="C154" s="8"/>
      <c r="D154" s="8"/>
      <c r="E154" s="8"/>
      <c r="F154" s="129"/>
      <c r="G154" s="8"/>
      <c r="L154" s="172"/>
    </row>
    <row r="155">
      <c r="B155" s="8"/>
      <c r="C155" s="8"/>
      <c r="D155" s="8"/>
      <c r="E155" s="8"/>
      <c r="F155" s="129"/>
      <c r="G155" s="8"/>
      <c r="L155" s="172"/>
    </row>
    <row r="156">
      <c r="B156" s="8"/>
      <c r="C156" s="8"/>
      <c r="D156" s="8"/>
      <c r="E156" s="8"/>
      <c r="F156" s="129"/>
      <c r="G156" s="8"/>
      <c r="L156" s="172"/>
    </row>
    <row r="157">
      <c r="B157" s="8"/>
      <c r="C157" s="8"/>
      <c r="D157" s="8"/>
      <c r="E157" s="8"/>
      <c r="F157" s="129"/>
      <c r="G157" s="8"/>
      <c r="L157" s="172"/>
    </row>
    <row r="158">
      <c r="B158" s="8"/>
      <c r="C158" s="8"/>
      <c r="D158" s="8"/>
      <c r="E158" s="8"/>
      <c r="F158" s="129"/>
      <c r="G158" s="8"/>
      <c r="L158" s="172"/>
    </row>
    <row r="159">
      <c r="B159" s="8"/>
      <c r="C159" s="8"/>
      <c r="D159" s="8"/>
      <c r="E159" s="8"/>
      <c r="F159" s="129"/>
      <c r="G159" s="8"/>
      <c r="L159" s="172"/>
    </row>
    <row r="160">
      <c r="B160" s="8"/>
      <c r="C160" s="8"/>
      <c r="D160" s="8"/>
      <c r="E160" s="8"/>
      <c r="F160" s="129"/>
      <c r="G160" s="8"/>
      <c r="L160" s="172"/>
    </row>
    <row r="161">
      <c r="B161" s="8"/>
      <c r="C161" s="8"/>
      <c r="D161" s="8"/>
      <c r="E161" s="8"/>
      <c r="F161" s="129"/>
      <c r="G161" s="8"/>
      <c r="L161" s="172"/>
    </row>
    <row r="162">
      <c r="B162" s="8"/>
      <c r="C162" s="8"/>
      <c r="D162" s="8"/>
      <c r="E162" s="8"/>
      <c r="F162" s="129"/>
      <c r="G162" s="8"/>
      <c r="L162" s="172"/>
    </row>
    <row r="163">
      <c r="B163" s="8"/>
      <c r="C163" s="8"/>
      <c r="D163" s="8"/>
      <c r="E163" s="8"/>
      <c r="F163" s="129"/>
      <c r="G163" s="8"/>
      <c r="L163" s="172"/>
    </row>
    <row r="164">
      <c r="B164" s="8"/>
      <c r="C164" s="8"/>
      <c r="D164" s="8"/>
      <c r="E164" s="8"/>
      <c r="F164" s="129"/>
      <c r="G164" s="8"/>
      <c r="L164" s="172"/>
    </row>
    <row r="165">
      <c r="B165" s="8"/>
      <c r="C165" s="8"/>
      <c r="D165" s="8"/>
      <c r="E165" s="8"/>
      <c r="F165" s="129"/>
      <c r="G165" s="8"/>
      <c r="L165" s="172"/>
    </row>
    <row r="166">
      <c r="B166" s="8"/>
      <c r="C166" s="8"/>
      <c r="D166" s="8"/>
      <c r="E166" s="8"/>
      <c r="F166" s="129"/>
      <c r="G166" s="8"/>
      <c r="L166" s="172"/>
    </row>
    <row r="167">
      <c r="B167" s="8"/>
      <c r="C167" s="8"/>
      <c r="D167" s="8"/>
      <c r="E167" s="8"/>
      <c r="F167" s="129"/>
      <c r="G167" s="8"/>
      <c r="L167" s="172"/>
    </row>
    <row r="168">
      <c r="B168" s="8"/>
      <c r="C168" s="8"/>
      <c r="D168" s="8"/>
      <c r="E168" s="8"/>
      <c r="F168" s="129"/>
      <c r="G168" s="8"/>
      <c r="L168" s="172"/>
    </row>
    <row r="169">
      <c r="B169" s="8"/>
      <c r="C169" s="8"/>
      <c r="D169" s="8"/>
      <c r="E169" s="8"/>
      <c r="F169" s="129"/>
      <c r="G169" s="8"/>
      <c r="L169" s="172"/>
    </row>
    <row r="170">
      <c r="B170" s="8"/>
      <c r="C170" s="8"/>
      <c r="D170" s="8"/>
      <c r="E170" s="8"/>
      <c r="F170" s="129"/>
      <c r="G170" s="8"/>
      <c r="L170" s="172"/>
    </row>
    <row r="171">
      <c r="B171" s="8"/>
      <c r="C171" s="8"/>
      <c r="D171" s="8"/>
      <c r="E171" s="8"/>
      <c r="F171" s="129"/>
      <c r="G171" s="8"/>
      <c r="L171" s="172"/>
    </row>
    <row r="172">
      <c r="B172" s="8"/>
      <c r="C172" s="8"/>
      <c r="D172" s="8"/>
      <c r="E172" s="8"/>
      <c r="F172" s="129"/>
      <c r="G172" s="8"/>
      <c r="L172" s="172"/>
    </row>
    <row r="173">
      <c r="B173" s="8"/>
      <c r="C173" s="8"/>
      <c r="D173" s="8"/>
      <c r="E173" s="8"/>
      <c r="F173" s="129"/>
      <c r="G173" s="8"/>
      <c r="L173" s="172"/>
    </row>
    <row r="174">
      <c r="B174" s="8"/>
      <c r="C174" s="8"/>
      <c r="D174" s="8"/>
      <c r="E174" s="8"/>
      <c r="F174" s="129"/>
      <c r="G174" s="8"/>
      <c r="L174" s="172"/>
    </row>
    <row r="175">
      <c r="B175" s="8"/>
      <c r="C175" s="8"/>
      <c r="D175" s="8"/>
      <c r="E175" s="8"/>
      <c r="F175" s="129"/>
      <c r="G175" s="8"/>
      <c r="L175" s="172"/>
    </row>
    <row r="176">
      <c r="B176" s="8"/>
      <c r="C176" s="8"/>
      <c r="D176" s="8"/>
      <c r="E176" s="8"/>
      <c r="F176" s="129"/>
      <c r="G176" s="8"/>
      <c r="L176" s="172"/>
    </row>
    <row r="177">
      <c r="B177" s="8"/>
      <c r="C177" s="8"/>
      <c r="D177" s="8"/>
      <c r="E177" s="8"/>
      <c r="F177" s="129"/>
      <c r="G177" s="8"/>
      <c r="L177" s="172"/>
    </row>
    <row r="178">
      <c r="B178" s="8"/>
      <c r="C178" s="8"/>
      <c r="D178" s="8"/>
      <c r="E178" s="8"/>
      <c r="F178" s="129"/>
      <c r="G178" s="8"/>
      <c r="L178" s="172"/>
    </row>
    <row r="179">
      <c r="B179" s="8"/>
      <c r="C179" s="8"/>
      <c r="D179" s="8"/>
      <c r="E179" s="8"/>
      <c r="F179" s="129"/>
      <c r="G179" s="8"/>
      <c r="L179" s="172"/>
    </row>
    <row r="180">
      <c r="B180" s="8"/>
      <c r="C180" s="8"/>
      <c r="D180" s="8"/>
      <c r="E180" s="8"/>
      <c r="F180" s="129"/>
      <c r="G180" s="8"/>
      <c r="L180" s="172"/>
    </row>
    <row r="181">
      <c r="B181" s="8"/>
      <c r="C181" s="8"/>
      <c r="D181" s="8"/>
      <c r="E181" s="8"/>
      <c r="F181" s="129"/>
      <c r="G181" s="8"/>
      <c r="L181" s="172"/>
    </row>
    <row r="182">
      <c r="B182" s="8"/>
      <c r="C182" s="8"/>
      <c r="D182" s="8"/>
      <c r="E182" s="8"/>
      <c r="F182" s="129"/>
      <c r="G182" s="8"/>
      <c r="L182" s="172"/>
    </row>
    <row r="183">
      <c r="B183" s="8"/>
      <c r="C183" s="8"/>
      <c r="D183" s="8"/>
      <c r="E183" s="8"/>
      <c r="F183" s="129"/>
      <c r="G183" s="8"/>
      <c r="L183" s="172"/>
    </row>
    <row r="184">
      <c r="B184" s="8"/>
      <c r="C184" s="8"/>
      <c r="D184" s="8"/>
      <c r="E184" s="8"/>
      <c r="F184" s="129"/>
      <c r="G184" s="8"/>
      <c r="L184" s="172"/>
    </row>
    <row r="185">
      <c r="B185" s="8"/>
      <c r="C185" s="8"/>
      <c r="D185" s="8"/>
      <c r="E185" s="8"/>
      <c r="F185" s="129"/>
      <c r="G185" s="8"/>
      <c r="L185" s="172"/>
    </row>
    <row r="186">
      <c r="B186" s="8"/>
      <c r="C186" s="8"/>
      <c r="D186" s="8"/>
      <c r="E186" s="8"/>
      <c r="F186" s="129"/>
      <c r="G186" s="8"/>
      <c r="L186" s="172"/>
    </row>
    <row r="187">
      <c r="B187" s="8"/>
      <c r="C187" s="8"/>
      <c r="D187" s="8"/>
      <c r="E187" s="8"/>
      <c r="F187" s="129"/>
      <c r="G187" s="8"/>
      <c r="L187" s="172"/>
    </row>
    <row r="188">
      <c r="B188" s="8"/>
      <c r="C188" s="8"/>
      <c r="D188" s="8"/>
      <c r="E188" s="8"/>
      <c r="F188" s="129"/>
      <c r="G188" s="8"/>
      <c r="L188" s="172"/>
    </row>
    <row r="189">
      <c r="B189" s="8"/>
      <c r="C189" s="8"/>
      <c r="D189" s="8"/>
      <c r="E189" s="8"/>
      <c r="F189" s="129"/>
      <c r="G189" s="8"/>
      <c r="L189" s="172"/>
    </row>
    <row r="190">
      <c r="B190" s="8"/>
      <c r="C190" s="8"/>
      <c r="D190" s="8"/>
      <c r="E190" s="8"/>
      <c r="F190" s="129"/>
      <c r="G190" s="8"/>
      <c r="L190" s="172"/>
    </row>
    <row r="191">
      <c r="B191" s="8"/>
      <c r="C191" s="8"/>
      <c r="D191" s="8"/>
      <c r="E191" s="8"/>
      <c r="F191" s="129"/>
      <c r="G191" s="8"/>
      <c r="L191" s="172"/>
    </row>
    <row r="192">
      <c r="B192" s="8"/>
      <c r="C192" s="8"/>
      <c r="D192" s="8"/>
      <c r="E192" s="8"/>
      <c r="F192" s="129"/>
      <c r="G192" s="8"/>
      <c r="L192" s="172"/>
    </row>
    <row r="193">
      <c r="B193" s="8"/>
      <c r="C193" s="8"/>
      <c r="D193" s="8"/>
      <c r="E193" s="8"/>
      <c r="F193" s="129"/>
      <c r="G193" s="8"/>
      <c r="L193" s="172"/>
    </row>
    <row r="194">
      <c r="B194" s="8"/>
      <c r="C194" s="8"/>
      <c r="D194" s="8"/>
      <c r="E194" s="8"/>
      <c r="F194" s="129"/>
      <c r="G194" s="8"/>
      <c r="L194" s="172"/>
    </row>
    <row r="195">
      <c r="B195" s="8"/>
      <c r="C195" s="8"/>
      <c r="D195" s="8"/>
      <c r="E195" s="8"/>
      <c r="F195" s="129"/>
      <c r="G195" s="8"/>
      <c r="L195" s="172"/>
    </row>
    <row r="196">
      <c r="B196" s="8"/>
      <c r="C196" s="8"/>
      <c r="D196" s="8"/>
      <c r="E196" s="8"/>
      <c r="F196" s="129"/>
      <c r="G196" s="8"/>
      <c r="L196" s="172"/>
    </row>
    <row r="197">
      <c r="B197" s="8"/>
      <c r="C197" s="8"/>
      <c r="D197" s="8"/>
      <c r="E197" s="8"/>
      <c r="F197" s="129"/>
      <c r="G197" s="8"/>
      <c r="L197" s="172"/>
    </row>
    <row r="198">
      <c r="B198" s="8"/>
      <c r="C198" s="8"/>
      <c r="D198" s="8"/>
      <c r="E198" s="8"/>
      <c r="F198" s="129"/>
      <c r="G198" s="8"/>
      <c r="L198" s="172"/>
    </row>
    <row r="199">
      <c r="B199" s="8"/>
      <c r="C199" s="8"/>
      <c r="D199" s="8"/>
      <c r="E199" s="8"/>
      <c r="F199" s="129"/>
      <c r="G199" s="8"/>
      <c r="L199" s="172"/>
    </row>
    <row r="200">
      <c r="B200" s="8"/>
      <c r="C200" s="8"/>
      <c r="D200" s="8"/>
      <c r="E200" s="8"/>
      <c r="F200" s="129"/>
      <c r="G200" s="8"/>
      <c r="L200" s="172"/>
    </row>
    <row r="201">
      <c r="B201" s="8"/>
      <c r="C201" s="8"/>
      <c r="D201" s="8"/>
      <c r="E201" s="8"/>
      <c r="F201" s="129"/>
      <c r="G201" s="8"/>
      <c r="L201" s="172"/>
    </row>
    <row r="202">
      <c r="B202" s="8"/>
      <c r="C202" s="8"/>
      <c r="D202" s="8"/>
      <c r="E202" s="8"/>
      <c r="F202" s="129"/>
      <c r="G202" s="8"/>
      <c r="L202" s="172"/>
    </row>
    <row r="203">
      <c r="B203" s="8"/>
      <c r="C203" s="8"/>
      <c r="D203" s="8"/>
      <c r="E203" s="8"/>
      <c r="F203" s="129"/>
      <c r="G203" s="8"/>
      <c r="L203" s="172"/>
    </row>
    <row r="204">
      <c r="B204" s="8"/>
      <c r="C204" s="8"/>
      <c r="D204" s="8"/>
      <c r="E204" s="8"/>
      <c r="F204" s="129"/>
      <c r="G204" s="8"/>
      <c r="L204" s="172"/>
    </row>
    <row r="205">
      <c r="B205" s="8"/>
      <c r="C205" s="8"/>
      <c r="D205" s="8"/>
      <c r="E205" s="8"/>
      <c r="F205" s="129"/>
      <c r="G205" s="8"/>
      <c r="L205" s="172"/>
    </row>
    <row r="206">
      <c r="B206" s="8"/>
      <c r="C206" s="8"/>
      <c r="D206" s="8"/>
      <c r="E206" s="8"/>
      <c r="F206" s="129"/>
      <c r="G206" s="8"/>
      <c r="L206" s="172"/>
    </row>
    <row r="207">
      <c r="B207" s="8"/>
      <c r="C207" s="8"/>
      <c r="D207" s="8"/>
      <c r="E207" s="8"/>
      <c r="F207" s="129"/>
      <c r="G207" s="8"/>
      <c r="L207" s="172"/>
    </row>
    <row r="208">
      <c r="B208" s="8"/>
      <c r="C208" s="8"/>
      <c r="D208" s="8"/>
      <c r="E208" s="8"/>
      <c r="F208" s="129"/>
      <c r="G208" s="8"/>
      <c r="L208" s="172"/>
    </row>
    <row r="209">
      <c r="B209" s="8"/>
      <c r="C209" s="8"/>
      <c r="D209" s="8"/>
      <c r="E209" s="8"/>
      <c r="F209" s="129"/>
      <c r="G209" s="8"/>
      <c r="L209" s="172"/>
    </row>
    <row r="210">
      <c r="B210" s="8"/>
      <c r="C210" s="8"/>
      <c r="D210" s="8"/>
      <c r="E210" s="8"/>
      <c r="F210" s="129"/>
      <c r="G210" s="8"/>
      <c r="L210" s="172"/>
    </row>
    <row r="211">
      <c r="B211" s="8"/>
      <c r="C211" s="8"/>
      <c r="D211" s="8"/>
      <c r="E211" s="8"/>
      <c r="F211" s="129"/>
      <c r="G211" s="8"/>
      <c r="L211" s="172"/>
    </row>
    <row r="212">
      <c r="B212" s="8"/>
      <c r="C212" s="8"/>
      <c r="D212" s="8"/>
      <c r="E212" s="8"/>
      <c r="F212" s="129"/>
      <c r="G212" s="8"/>
      <c r="L212" s="172"/>
    </row>
    <row r="213">
      <c r="B213" s="8"/>
      <c r="C213" s="8"/>
      <c r="D213" s="8"/>
      <c r="E213" s="8"/>
      <c r="F213" s="129"/>
      <c r="G213" s="8"/>
      <c r="L213" s="172"/>
    </row>
    <row r="214">
      <c r="B214" s="8"/>
      <c r="C214" s="8"/>
      <c r="D214" s="8"/>
      <c r="E214" s="8"/>
      <c r="F214" s="129"/>
      <c r="G214" s="8"/>
      <c r="L214" s="172"/>
    </row>
    <row r="215">
      <c r="B215" s="8"/>
      <c r="C215" s="8"/>
      <c r="D215" s="8"/>
      <c r="E215" s="8"/>
      <c r="F215" s="129"/>
      <c r="G215" s="8"/>
      <c r="L215" s="172"/>
    </row>
    <row r="216">
      <c r="B216" s="8"/>
      <c r="C216" s="8"/>
      <c r="D216" s="8"/>
      <c r="E216" s="8"/>
      <c r="F216" s="129"/>
      <c r="G216" s="8"/>
      <c r="L216" s="172"/>
    </row>
    <row r="217">
      <c r="B217" s="8"/>
      <c r="C217" s="8"/>
      <c r="D217" s="8"/>
      <c r="E217" s="8"/>
      <c r="F217" s="129"/>
      <c r="G217" s="8"/>
      <c r="L217" s="172"/>
    </row>
    <row r="218">
      <c r="B218" s="8"/>
      <c r="C218" s="8"/>
      <c r="D218" s="8"/>
      <c r="E218" s="8"/>
      <c r="F218" s="129"/>
      <c r="G218" s="8"/>
      <c r="L218" s="172"/>
    </row>
    <row r="219">
      <c r="B219" s="8"/>
      <c r="C219" s="8"/>
      <c r="D219" s="8"/>
      <c r="E219" s="8"/>
      <c r="F219" s="129"/>
      <c r="G219" s="8"/>
      <c r="L219" s="172"/>
    </row>
    <row r="220">
      <c r="B220" s="8"/>
      <c r="C220" s="8"/>
      <c r="D220" s="8"/>
      <c r="E220" s="8"/>
      <c r="F220" s="129"/>
      <c r="G220" s="8"/>
      <c r="L220" s="172"/>
    </row>
    <row r="221">
      <c r="B221" s="8"/>
      <c r="C221" s="8"/>
      <c r="D221" s="8"/>
      <c r="E221" s="8"/>
      <c r="F221" s="129"/>
      <c r="G221" s="8"/>
      <c r="L221" s="172"/>
    </row>
    <row r="222">
      <c r="B222" s="8"/>
      <c r="C222" s="8"/>
      <c r="D222" s="8"/>
      <c r="E222" s="8"/>
      <c r="F222" s="129"/>
      <c r="G222" s="8"/>
      <c r="L222" s="172"/>
    </row>
    <row r="223">
      <c r="B223" s="8"/>
      <c r="C223" s="8"/>
      <c r="D223" s="8"/>
      <c r="E223" s="8"/>
      <c r="F223" s="129"/>
      <c r="G223" s="8"/>
      <c r="L223" s="172"/>
    </row>
    <row r="224">
      <c r="B224" s="8"/>
      <c r="C224" s="8"/>
      <c r="D224" s="8"/>
      <c r="E224" s="8"/>
      <c r="F224" s="129"/>
      <c r="G224" s="8"/>
      <c r="L224" s="172"/>
    </row>
    <row r="225">
      <c r="B225" s="8"/>
      <c r="C225" s="8"/>
      <c r="D225" s="8"/>
      <c r="E225" s="8"/>
      <c r="F225" s="129"/>
      <c r="G225" s="8"/>
      <c r="L225" s="172"/>
    </row>
    <row r="226">
      <c r="B226" s="8"/>
      <c r="C226" s="8"/>
      <c r="D226" s="8"/>
      <c r="E226" s="8"/>
      <c r="F226" s="129"/>
      <c r="G226" s="8"/>
      <c r="L226" s="172"/>
    </row>
    <row r="227">
      <c r="B227" s="8"/>
      <c r="C227" s="8"/>
      <c r="D227" s="8"/>
      <c r="E227" s="8"/>
      <c r="F227" s="129"/>
      <c r="G227" s="8"/>
      <c r="L227" s="172"/>
    </row>
    <row r="228">
      <c r="B228" s="8"/>
      <c r="C228" s="8"/>
      <c r="D228" s="8"/>
      <c r="E228" s="8"/>
      <c r="F228" s="129"/>
      <c r="G228" s="8"/>
      <c r="L228" s="172"/>
    </row>
    <row r="229">
      <c r="B229" s="8"/>
      <c r="C229" s="8"/>
      <c r="D229" s="8"/>
      <c r="E229" s="8"/>
      <c r="F229" s="129"/>
      <c r="G229" s="8"/>
      <c r="L229" s="172"/>
    </row>
    <row r="230">
      <c r="B230" s="8"/>
      <c r="C230" s="8"/>
      <c r="D230" s="8"/>
      <c r="E230" s="8"/>
      <c r="F230" s="129"/>
      <c r="G230" s="8"/>
      <c r="L230" s="172"/>
    </row>
    <row r="231">
      <c r="B231" s="8"/>
      <c r="C231" s="8"/>
      <c r="D231" s="8"/>
      <c r="E231" s="8"/>
      <c r="F231" s="129"/>
      <c r="G231" s="8"/>
      <c r="L231" s="172"/>
    </row>
    <row r="232">
      <c r="B232" s="8"/>
      <c r="C232" s="8"/>
      <c r="D232" s="8"/>
      <c r="E232" s="8"/>
      <c r="F232" s="129"/>
      <c r="G232" s="8"/>
      <c r="L232" s="172"/>
    </row>
    <row r="233">
      <c r="B233" s="8"/>
      <c r="C233" s="8"/>
      <c r="D233" s="8"/>
      <c r="E233" s="8"/>
      <c r="F233" s="129"/>
      <c r="G233" s="8"/>
      <c r="L233" s="172"/>
    </row>
    <row r="234">
      <c r="B234" s="8"/>
      <c r="C234" s="8"/>
      <c r="D234" s="8"/>
      <c r="E234" s="8"/>
      <c r="F234" s="129"/>
      <c r="G234" s="8"/>
      <c r="L234" s="172"/>
    </row>
    <row r="235">
      <c r="B235" s="8"/>
      <c r="C235" s="8"/>
      <c r="D235" s="8"/>
      <c r="E235" s="8"/>
      <c r="F235" s="129"/>
      <c r="G235" s="8"/>
      <c r="L235" s="172"/>
    </row>
    <row r="236">
      <c r="B236" s="8"/>
      <c r="C236" s="8"/>
      <c r="D236" s="8"/>
      <c r="E236" s="8"/>
      <c r="F236" s="129"/>
      <c r="G236" s="8"/>
      <c r="L236" s="172"/>
    </row>
    <row r="237">
      <c r="B237" s="8"/>
      <c r="C237" s="8"/>
      <c r="D237" s="8"/>
      <c r="E237" s="8"/>
      <c r="F237" s="129"/>
      <c r="G237" s="8"/>
      <c r="L237" s="172"/>
    </row>
    <row r="238">
      <c r="B238" s="8"/>
      <c r="C238" s="8"/>
      <c r="D238" s="8"/>
      <c r="E238" s="8"/>
      <c r="F238" s="129"/>
      <c r="G238" s="8"/>
      <c r="L238" s="172"/>
    </row>
    <row r="239">
      <c r="B239" s="8"/>
      <c r="C239" s="8"/>
      <c r="D239" s="8"/>
      <c r="E239" s="8"/>
      <c r="F239" s="129"/>
      <c r="G239" s="8"/>
      <c r="L239" s="172"/>
    </row>
    <row r="240">
      <c r="B240" s="8"/>
      <c r="C240" s="8"/>
      <c r="D240" s="8"/>
      <c r="E240" s="8"/>
      <c r="F240" s="129"/>
      <c r="G240" s="8"/>
      <c r="L240" s="172"/>
    </row>
    <row r="241">
      <c r="B241" s="8"/>
      <c r="C241" s="8"/>
      <c r="D241" s="8"/>
      <c r="E241" s="8"/>
      <c r="F241" s="129"/>
      <c r="G241" s="8"/>
      <c r="L241" s="172"/>
    </row>
    <row r="242">
      <c r="B242" s="8"/>
      <c r="C242" s="8"/>
      <c r="D242" s="8"/>
      <c r="E242" s="8"/>
      <c r="F242" s="129"/>
      <c r="G242" s="8"/>
      <c r="L242" s="172"/>
    </row>
    <row r="243">
      <c r="B243" s="8"/>
      <c r="C243" s="8"/>
      <c r="D243" s="8"/>
      <c r="E243" s="8"/>
      <c r="F243" s="129"/>
      <c r="G243" s="8"/>
      <c r="L243" s="172"/>
    </row>
    <row r="244">
      <c r="B244" s="8"/>
      <c r="C244" s="8"/>
      <c r="D244" s="8"/>
      <c r="E244" s="8"/>
      <c r="F244" s="129"/>
      <c r="G244" s="8"/>
      <c r="L244" s="172"/>
    </row>
    <row r="245">
      <c r="B245" s="8"/>
      <c r="C245" s="8"/>
      <c r="D245" s="8"/>
      <c r="E245" s="8"/>
      <c r="F245" s="129"/>
      <c r="G245" s="8"/>
      <c r="L245" s="172"/>
    </row>
    <row r="246">
      <c r="B246" s="8"/>
      <c r="C246" s="8"/>
      <c r="D246" s="8"/>
      <c r="E246" s="8"/>
      <c r="F246" s="129"/>
      <c r="G246" s="8"/>
      <c r="L246" s="172"/>
    </row>
    <row r="247">
      <c r="B247" s="8"/>
      <c r="C247" s="8"/>
      <c r="D247" s="8"/>
      <c r="E247" s="8"/>
      <c r="F247" s="129"/>
      <c r="G247" s="8"/>
      <c r="L247" s="172"/>
    </row>
    <row r="248">
      <c r="B248" s="8"/>
      <c r="C248" s="8"/>
      <c r="D248" s="8"/>
      <c r="E248" s="8"/>
      <c r="F248" s="129"/>
      <c r="G248" s="8"/>
      <c r="L248" s="172"/>
    </row>
    <row r="249">
      <c r="B249" s="8"/>
      <c r="C249" s="8"/>
      <c r="D249" s="8"/>
      <c r="E249" s="8"/>
      <c r="F249" s="129"/>
      <c r="G249" s="8"/>
      <c r="L249" s="172"/>
    </row>
    <row r="250">
      <c r="B250" s="8"/>
      <c r="C250" s="8"/>
      <c r="D250" s="8"/>
      <c r="E250" s="8"/>
      <c r="F250" s="129"/>
      <c r="G250" s="8"/>
      <c r="L250" s="172"/>
    </row>
    <row r="251">
      <c r="B251" s="8"/>
      <c r="C251" s="8"/>
      <c r="D251" s="8"/>
      <c r="E251" s="8"/>
      <c r="F251" s="129"/>
      <c r="G251" s="8"/>
      <c r="L251" s="172"/>
    </row>
    <row r="252">
      <c r="B252" s="8"/>
      <c r="C252" s="8"/>
      <c r="D252" s="8"/>
      <c r="E252" s="8"/>
      <c r="F252" s="129"/>
      <c r="G252" s="8"/>
      <c r="L252" s="172"/>
    </row>
    <row r="253">
      <c r="B253" s="8"/>
      <c r="C253" s="8"/>
      <c r="D253" s="8"/>
      <c r="E253" s="8"/>
      <c r="F253" s="129"/>
      <c r="G253" s="8"/>
      <c r="L253" s="172"/>
    </row>
    <row r="254">
      <c r="B254" s="8"/>
      <c r="C254" s="8"/>
      <c r="D254" s="8"/>
      <c r="E254" s="8"/>
      <c r="F254" s="129"/>
      <c r="G254" s="8"/>
      <c r="L254" s="172"/>
    </row>
    <row r="255">
      <c r="B255" s="8"/>
      <c r="C255" s="8"/>
      <c r="D255" s="8"/>
      <c r="E255" s="8"/>
      <c r="F255" s="129"/>
      <c r="G255" s="8"/>
      <c r="L255" s="172"/>
    </row>
    <row r="256">
      <c r="B256" s="8"/>
      <c r="C256" s="8"/>
      <c r="D256" s="8"/>
      <c r="E256" s="8"/>
      <c r="F256" s="129"/>
      <c r="G256" s="8"/>
      <c r="L256" s="172"/>
    </row>
    <row r="257">
      <c r="B257" s="8"/>
      <c r="C257" s="8"/>
      <c r="D257" s="8"/>
      <c r="E257" s="8"/>
      <c r="F257" s="129"/>
      <c r="G257" s="8"/>
      <c r="L257" s="172"/>
    </row>
    <row r="258">
      <c r="B258" s="8"/>
      <c r="C258" s="8"/>
      <c r="D258" s="8"/>
      <c r="E258" s="8"/>
      <c r="F258" s="129"/>
      <c r="G258" s="8"/>
      <c r="L258" s="172"/>
    </row>
    <row r="259">
      <c r="B259" s="8"/>
      <c r="C259" s="8"/>
      <c r="D259" s="8"/>
      <c r="E259" s="8"/>
      <c r="F259" s="129"/>
      <c r="G259" s="8"/>
      <c r="L259" s="172"/>
    </row>
    <row r="260">
      <c r="B260" s="8"/>
      <c r="C260" s="8"/>
      <c r="D260" s="8"/>
      <c r="E260" s="8"/>
      <c r="F260" s="129"/>
      <c r="G260" s="8"/>
      <c r="L260" s="172"/>
    </row>
    <row r="261">
      <c r="B261" s="8"/>
      <c r="C261" s="8"/>
      <c r="D261" s="8"/>
      <c r="E261" s="8"/>
      <c r="F261" s="129"/>
      <c r="G261" s="8"/>
      <c r="L261" s="172"/>
    </row>
    <row r="262">
      <c r="B262" s="8"/>
      <c r="C262" s="8"/>
      <c r="D262" s="8"/>
      <c r="E262" s="8"/>
      <c r="F262" s="129"/>
      <c r="G262" s="8"/>
      <c r="L262" s="172"/>
    </row>
    <row r="263">
      <c r="B263" s="8"/>
      <c r="C263" s="8"/>
      <c r="D263" s="8"/>
      <c r="E263" s="8"/>
      <c r="F263" s="129"/>
      <c r="G263" s="8"/>
      <c r="L263" s="172"/>
    </row>
    <row r="264">
      <c r="B264" s="8"/>
      <c r="C264" s="8"/>
      <c r="D264" s="8"/>
      <c r="E264" s="8"/>
      <c r="F264" s="129"/>
      <c r="G264" s="8"/>
      <c r="L264" s="172"/>
    </row>
    <row r="265">
      <c r="B265" s="8"/>
      <c r="C265" s="8"/>
      <c r="D265" s="8"/>
      <c r="E265" s="8"/>
      <c r="F265" s="129"/>
      <c r="G265" s="8"/>
      <c r="L265" s="172"/>
    </row>
    <row r="266">
      <c r="B266" s="8"/>
      <c r="C266" s="8"/>
      <c r="D266" s="8"/>
      <c r="E266" s="8"/>
      <c r="F266" s="129"/>
      <c r="G266" s="8"/>
      <c r="L266" s="172"/>
    </row>
    <row r="267">
      <c r="B267" s="8"/>
      <c r="C267" s="8"/>
      <c r="D267" s="8"/>
      <c r="E267" s="8"/>
      <c r="F267" s="129"/>
      <c r="G267" s="8"/>
      <c r="L267" s="172"/>
    </row>
    <row r="268">
      <c r="B268" s="8"/>
      <c r="C268" s="8"/>
      <c r="D268" s="8"/>
      <c r="E268" s="8"/>
      <c r="F268" s="129"/>
      <c r="G268" s="8"/>
      <c r="L268" s="172"/>
    </row>
    <row r="269">
      <c r="B269" s="8"/>
      <c r="C269" s="8"/>
      <c r="D269" s="8"/>
      <c r="E269" s="8"/>
      <c r="F269" s="129"/>
      <c r="G269" s="8"/>
      <c r="L269" s="172"/>
    </row>
    <row r="270">
      <c r="B270" s="8"/>
      <c r="C270" s="8"/>
      <c r="D270" s="8"/>
      <c r="E270" s="8"/>
      <c r="F270" s="129"/>
      <c r="G270" s="8"/>
      <c r="L270" s="172"/>
    </row>
    <row r="271">
      <c r="B271" s="8"/>
      <c r="C271" s="8"/>
      <c r="D271" s="8"/>
      <c r="E271" s="8"/>
      <c r="F271" s="129"/>
      <c r="G271" s="8"/>
      <c r="L271" s="172"/>
    </row>
    <row r="272">
      <c r="B272" s="8"/>
      <c r="C272" s="8"/>
      <c r="D272" s="8"/>
      <c r="E272" s="8"/>
      <c r="F272" s="129"/>
      <c r="G272" s="8"/>
      <c r="L272" s="172"/>
    </row>
    <row r="273">
      <c r="B273" s="8"/>
      <c r="C273" s="8"/>
      <c r="D273" s="8"/>
      <c r="E273" s="8"/>
      <c r="F273" s="129"/>
      <c r="G273" s="8"/>
      <c r="L273" s="172"/>
    </row>
    <row r="274">
      <c r="B274" s="8"/>
      <c r="C274" s="8"/>
      <c r="D274" s="8"/>
      <c r="E274" s="8"/>
      <c r="F274" s="129"/>
      <c r="G274" s="8"/>
      <c r="L274" s="172"/>
    </row>
    <row r="275">
      <c r="B275" s="8"/>
      <c r="C275" s="8"/>
      <c r="D275" s="8"/>
      <c r="E275" s="8"/>
      <c r="F275" s="129"/>
      <c r="G275" s="8"/>
      <c r="L275" s="172"/>
    </row>
    <row r="276">
      <c r="B276" s="8"/>
      <c r="C276" s="8"/>
      <c r="D276" s="8"/>
      <c r="E276" s="8"/>
      <c r="F276" s="129"/>
      <c r="G276" s="8"/>
      <c r="L276" s="172"/>
    </row>
    <row r="277">
      <c r="B277" s="8"/>
      <c r="C277" s="8"/>
      <c r="D277" s="8"/>
      <c r="E277" s="8"/>
      <c r="F277" s="129"/>
      <c r="G277" s="8"/>
      <c r="L277" s="172"/>
    </row>
    <row r="278">
      <c r="B278" s="8"/>
      <c r="C278" s="8"/>
      <c r="D278" s="8"/>
      <c r="E278" s="8"/>
      <c r="F278" s="129"/>
      <c r="G278" s="8"/>
      <c r="L278" s="172"/>
    </row>
    <row r="279">
      <c r="B279" s="8"/>
      <c r="C279" s="8"/>
      <c r="D279" s="8"/>
      <c r="E279" s="8"/>
      <c r="F279" s="129"/>
      <c r="G279" s="8"/>
      <c r="L279" s="172"/>
    </row>
    <row r="280">
      <c r="B280" s="8"/>
      <c r="C280" s="8"/>
      <c r="D280" s="8"/>
      <c r="E280" s="8"/>
      <c r="F280" s="129"/>
      <c r="G280" s="8"/>
      <c r="L280" s="172"/>
    </row>
    <row r="281">
      <c r="B281" s="8"/>
      <c r="C281" s="8"/>
      <c r="D281" s="8"/>
      <c r="E281" s="8"/>
      <c r="F281" s="129"/>
      <c r="G281" s="8"/>
      <c r="L281" s="172"/>
    </row>
    <row r="282">
      <c r="B282" s="8"/>
      <c r="C282" s="8"/>
      <c r="D282" s="8"/>
      <c r="E282" s="8"/>
      <c r="F282" s="129"/>
      <c r="G282" s="8"/>
      <c r="L282" s="172"/>
    </row>
    <row r="283">
      <c r="B283" s="8"/>
      <c r="C283" s="8"/>
      <c r="D283" s="8"/>
      <c r="E283" s="8"/>
      <c r="F283" s="129"/>
      <c r="G283" s="8"/>
      <c r="L283" s="172"/>
    </row>
    <row r="284">
      <c r="B284" s="8"/>
      <c r="C284" s="8"/>
      <c r="D284" s="8"/>
      <c r="E284" s="8"/>
      <c r="F284" s="129"/>
      <c r="G284" s="8"/>
      <c r="L284" s="172"/>
    </row>
    <row r="285">
      <c r="B285" s="8"/>
      <c r="C285" s="8"/>
      <c r="D285" s="8"/>
      <c r="E285" s="8"/>
      <c r="F285" s="129"/>
      <c r="G285" s="8"/>
      <c r="L285" s="172"/>
    </row>
    <row r="286">
      <c r="B286" s="8"/>
      <c r="C286" s="8"/>
      <c r="D286" s="8"/>
      <c r="E286" s="8"/>
      <c r="F286" s="129"/>
      <c r="G286" s="8"/>
      <c r="L286" s="172"/>
    </row>
    <row r="287">
      <c r="B287" s="8"/>
      <c r="C287" s="8"/>
      <c r="D287" s="8"/>
      <c r="E287" s="8"/>
      <c r="F287" s="129"/>
      <c r="G287" s="8"/>
      <c r="L287" s="172"/>
    </row>
    <row r="288">
      <c r="B288" s="8"/>
      <c r="C288" s="8"/>
      <c r="D288" s="8"/>
      <c r="E288" s="8"/>
      <c r="F288" s="129"/>
      <c r="G288" s="8"/>
      <c r="L288" s="172"/>
    </row>
    <row r="289">
      <c r="B289" s="8"/>
      <c r="C289" s="8"/>
      <c r="D289" s="8"/>
      <c r="E289" s="8"/>
      <c r="F289" s="129"/>
      <c r="G289" s="8"/>
      <c r="L289" s="172"/>
    </row>
    <row r="290">
      <c r="B290" s="8"/>
      <c r="C290" s="8"/>
      <c r="D290" s="8"/>
      <c r="E290" s="8"/>
      <c r="F290" s="129"/>
      <c r="G290" s="8"/>
      <c r="L290" s="172"/>
    </row>
    <row r="291">
      <c r="B291" s="8"/>
      <c r="C291" s="8"/>
      <c r="D291" s="8"/>
      <c r="E291" s="8"/>
      <c r="F291" s="129"/>
      <c r="G291" s="8"/>
      <c r="L291" s="172"/>
    </row>
    <row r="292">
      <c r="B292" s="8"/>
      <c r="C292" s="8"/>
      <c r="D292" s="8"/>
      <c r="E292" s="8"/>
      <c r="F292" s="129"/>
      <c r="G292" s="8"/>
      <c r="L292" s="172"/>
    </row>
    <row r="293">
      <c r="B293" s="8"/>
      <c r="C293" s="8"/>
      <c r="D293" s="8"/>
      <c r="E293" s="8"/>
      <c r="F293" s="129"/>
      <c r="G293" s="8"/>
      <c r="L293" s="172"/>
    </row>
    <row r="294">
      <c r="B294" s="8"/>
      <c r="C294" s="8"/>
      <c r="D294" s="8"/>
      <c r="E294" s="8"/>
      <c r="F294" s="129"/>
      <c r="G294" s="8"/>
      <c r="L294" s="172"/>
    </row>
    <row r="295">
      <c r="B295" s="8"/>
      <c r="C295" s="8"/>
      <c r="D295" s="8"/>
      <c r="E295" s="8"/>
      <c r="F295" s="129"/>
      <c r="G295" s="8"/>
      <c r="L295" s="172"/>
    </row>
    <row r="296">
      <c r="B296" s="8"/>
      <c r="C296" s="8"/>
      <c r="D296" s="8"/>
      <c r="E296" s="8"/>
      <c r="F296" s="129"/>
      <c r="G296" s="8"/>
      <c r="L296" s="172"/>
    </row>
    <row r="297">
      <c r="B297" s="8"/>
      <c r="C297" s="8"/>
      <c r="D297" s="8"/>
      <c r="E297" s="8"/>
      <c r="F297" s="129"/>
      <c r="G297" s="8"/>
      <c r="L297" s="172"/>
    </row>
    <row r="298">
      <c r="B298" s="8"/>
      <c r="C298" s="8"/>
      <c r="D298" s="8"/>
      <c r="E298" s="8"/>
      <c r="F298" s="129"/>
      <c r="G298" s="8"/>
      <c r="L298" s="172"/>
    </row>
    <row r="299">
      <c r="B299" s="8"/>
      <c r="C299" s="8"/>
      <c r="D299" s="8"/>
      <c r="E299" s="8"/>
      <c r="F299" s="129"/>
      <c r="G299" s="8"/>
      <c r="L299" s="172"/>
    </row>
    <row r="300">
      <c r="B300" s="8"/>
      <c r="C300" s="8"/>
      <c r="D300" s="8"/>
      <c r="E300" s="8"/>
      <c r="F300" s="129"/>
      <c r="G300" s="8"/>
      <c r="L300" s="172"/>
    </row>
    <row r="301">
      <c r="B301" s="8"/>
      <c r="C301" s="8"/>
      <c r="D301" s="8"/>
      <c r="E301" s="8"/>
      <c r="F301" s="129"/>
      <c r="G301" s="8"/>
      <c r="L301" s="172"/>
    </row>
    <row r="302">
      <c r="B302" s="8"/>
      <c r="C302" s="8"/>
      <c r="D302" s="8"/>
      <c r="E302" s="8"/>
      <c r="F302" s="129"/>
      <c r="G302" s="8"/>
      <c r="L302" s="172"/>
    </row>
    <row r="303">
      <c r="B303" s="8"/>
      <c r="C303" s="8"/>
      <c r="D303" s="8"/>
      <c r="E303" s="8"/>
      <c r="F303" s="129"/>
      <c r="G303" s="8"/>
      <c r="L303" s="172"/>
    </row>
    <row r="304">
      <c r="B304" s="8"/>
      <c r="C304" s="8"/>
      <c r="D304" s="8"/>
      <c r="E304" s="8"/>
      <c r="F304" s="129"/>
      <c r="G304" s="8"/>
      <c r="L304" s="172"/>
    </row>
    <row r="305">
      <c r="B305" s="8"/>
      <c r="C305" s="8"/>
      <c r="D305" s="8"/>
      <c r="E305" s="8"/>
      <c r="F305" s="129"/>
      <c r="G305" s="8"/>
      <c r="L305" s="172"/>
    </row>
    <row r="306">
      <c r="B306" s="8"/>
      <c r="C306" s="8"/>
      <c r="D306" s="8"/>
      <c r="E306" s="8"/>
      <c r="F306" s="129"/>
      <c r="G306" s="8"/>
      <c r="L306" s="172"/>
    </row>
    <row r="307">
      <c r="B307" s="8"/>
      <c r="C307" s="8"/>
      <c r="D307" s="8"/>
      <c r="E307" s="8"/>
      <c r="F307" s="129"/>
      <c r="G307" s="8"/>
      <c r="L307" s="172"/>
    </row>
    <row r="308">
      <c r="B308" s="8"/>
      <c r="C308" s="8"/>
      <c r="D308" s="8"/>
      <c r="E308" s="8"/>
      <c r="F308" s="129"/>
      <c r="G308" s="8"/>
      <c r="L308" s="172"/>
    </row>
    <row r="309">
      <c r="B309" s="8"/>
      <c r="C309" s="8"/>
      <c r="D309" s="8"/>
      <c r="E309" s="8"/>
      <c r="F309" s="129"/>
      <c r="G309" s="8"/>
      <c r="L309" s="172"/>
    </row>
    <row r="310">
      <c r="B310" s="8"/>
      <c r="C310" s="8"/>
      <c r="D310" s="8"/>
      <c r="E310" s="8"/>
      <c r="F310" s="129"/>
      <c r="G310" s="8"/>
      <c r="L310" s="172"/>
    </row>
    <row r="311">
      <c r="B311" s="8"/>
      <c r="C311" s="8"/>
      <c r="D311" s="8"/>
      <c r="E311" s="8"/>
      <c r="F311" s="129"/>
      <c r="G311" s="8"/>
      <c r="L311" s="172"/>
    </row>
    <row r="312">
      <c r="B312" s="8"/>
      <c r="C312" s="8"/>
      <c r="D312" s="8"/>
      <c r="E312" s="8"/>
      <c r="F312" s="129"/>
      <c r="G312" s="8"/>
      <c r="L312" s="172"/>
    </row>
    <row r="313">
      <c r="B313" s="8"/>
      <c r="C313" s="8"/>
      <c r="D313" s="8"/>
      <c r="E313" s="8"/>
      <c r="F313" s="129"/>
      <c r="G313" s="8"/>
      <c r="L313" s="172"/>
    </row>
    <row r="314">
      <c r="B314" s="8"/>
      <c r="C314" s="8"/>
      <c r="D314" s="8"/>
      <c r="E314" s="8"/>
      <c r="F314" s="129"/>
      <c r="G314" s="8"/>
      <c r="L314" s="172"/>
    </row>
    <row r="315">
      <c r="B315" s="8"/>
      <c r="C315" s="8"/>
      <c r="D315" s="8"/>
      <c r="E315" s="8"/>
      <c r="F315" s="129"/>
      <c r="G315" s="8"/>
      <c r="L315" s="172"/>
    </row>
    <row r="316">
      <c r="B316" s="8"/>
      <c r="C316" s="8"/>
      <c r="D316" s="8"/>
      <c r="E316" s="8"/>
      <c r="F316" s="129"/>
      <c r="G316" s="8"/>
      <c r="L316" s="172"/>
    </row>
    <row r="317">
      <c r="B317" s="8"/>
      <c r="C317" s="8"/>
      <c r="D317" s="8"/>
      <c r="E317" s="8"/>
      <c r="F317" s="129"/>
      <c r="G317" s="8"/>
      <c r="L317" s="172"/>
    </row>
    <row r="318">
      <c r="B318" s="8"/>
      <c r="C318" s="8"/>
      <c r="D318" s="8"/>
      <c r="E318" s="8"/>
      <c r="F318" s="129"/>
      <c r="G318" s="8"/>
      <c r="L318" s="172"/>
    </row>
    <row r="319">
      <c r="B319" s="8"/>
      <c r="C319" s="8"/>
      <c r="D319" s="8"/>
      <c r="E319" s="8"/>
      <c r="F319" s="129"/>
      <c r="G319" s="8"/>
      <c r="L319" s="172"/>
    </row>
    <row r="320">
      <c r="B320" s="8"/>
      <c r="C320" s="8"/>
      <c r="D320" s="8"/>
      <c r="E320" s="8"/>
      <c r="F320" s="129"/>
      <c r="G320" s="8"/>
      <c r="L320" s="172"/>
    </row>
    <row r="321">
      <c r="B321" s="8"/>
      <c r="C321" s="8"/>
      <c r="D321" s="8"/>
      <c r="E321" s="8"/>
      <c r="F321" s="129"/>
      <c r="G321" s="8"/>
      <c r="L321" s="172"/>
    </row>
    <row r="322">
      <c r="B322" s="8"/>
      <c r="C322" s="8"/>
      <c r="D322" s="8"/>
      <c r="E322" s="8"/>
      <c r="F322" s="129"/>
      <c r="G322" s="8"/>
      <c r="L322" s="172"/>
    </row>
    <row r="323">
      <c r="B323" s="8"/>
      <c r="C323" s="8"/>
      <c r="D323" s="8"/>
      <c r="E323" s="8"/>
      <c r="F323" s="129"/>
      <c r="G323" s="8"/>
      <c r="L323" s="172"/>
    </row>
    <row r="324">
      <c r="B324" s="8"/>
      <c r="C324" s="8"/>
      <c r="D324" s="8"/>
      <c r="E324" s="8"/>
      <c r="F324" s="129"/>
      <c r="G324" s="8"/>
      <c r="L324" s="172"/>
    </row>
    <row r="325">
      <c r="B325" s="8"/>
      <c r="C325" s="8"/>
      <c r="D325" s="8"/>
      <c r="E325" s="8"/>
      <c r="F325" s="129"/>
      <c r="G325" s="8"/>
      <c r="L325" s="172"/>
    </row>
    <row r="326">
      <c r="B326" s="8"/>
      <c r="C326" s="8"/>
      <c r="D326" s="8"/>
      <c r="E326" s="8"/>
      <c r="F326" s="129"/>
      <c r="G326" s="8"/>
      <c r="L326" s="172"/>
    </row>
    <row r="327">
      <c r="B327" s="8"/>
      <c r="C327" s="8"/>
      <c r="D327" s="8"/>
      <c r="E327" s="8"/>
      <c r="F327" s="129"/>
      <c r="G327" s="8"/>
      <c r="L327" s="172"/>
    </row>
    <row r="328">
      <c r="B328" s="8"/>
      <c r="C328" s="8"/>
      <c r="D328" s="8"/>
      <c r="E328" s="8"/>
      <c r="F328" s="129"/>
      <c r="G328" s="8"/>
      <c r="L328" s="172"/>
    </row>
    <row r="329">
      <c r="B329" s="8"/>
      <c r="C329" s="8"/>
      <c r="D329" s="8"/>
      <c r="E329" s="8"/>
      <c r="F329" s="129"/>
      <c r="G329" s="8"/>
      <c r="L329" s="172"/>
    </row>
    <row r="330">
      <c r="B330" s="8"/>
      <c r="C330" s="8"/>
      <c r="D330" s="8"/>
      <c r="E330" s="8"/>
      <c r="F330" s="129"/>
      <c r="G330" s="8"/>
      <c r="L330" s="172"/>
    </row>
    <row r="331">
      <c r="B331" s="8"/>
      <c r="C331" s="8"/>
      <c r="D331" s="8"/>
      <c r="E331" s="8"/>
      <c r="F331" s="129"/>
      <c r="G331" s="8"/>
      <c r="L331" s="172"/>
    </row>
    <row r="332">
      <c r="B332" s="8"/>
      <c r="C332" s="8"/>
      <c r="D332" s="8"/>
      <c r="E332" s="8"/>
      <c r="F332" s="129"/>
      <c r="G332" s="8"/>
      <c r="L332" s="172"/>
    </row>
    <row r="333">
      <c r="B333" s="8"/>
      <c r="C333" s="8"/>
      <c r="D333" s="8"/>
      <c r="E333" s="8"/>
      <c r="F333" s="129"/>
      <c r="G333" s="8"/>
      <c r="L333" s="172"/>
    </row>
    <row r="334">
      <c r="B334" s="8"/>
      <c r="C334" s="8"/>
      <c r="D334" s="8"/>
      <c r="E334" s="8"/>
      <c r="F334" s="129"/>
      <c r="G334" s="8"/>
      <c r="L334" s="172"/>
    </row>
    <row r="335">
      <c r="B335" s="8"/>
      <c r="C335" s="8"/>
      <c r="D335" s="8"/>
      <c r="E335" s="8"/>
      <c r="F335" s="129"/>
      <c r="G335" s="8"/>
      <c r="L335" s="172"/>
    </row>
    <row r="336">
      <c r="B336" s="8"/>
      <c r="C336" s="8"/>
      <c r="D336" s="8"/>
      <c r="E336" s="8"/>
      <c r="F336" s="129"/>
      <c r="G336" s="8"/>
      <c r="L336" s="172"/>
    </row>
    <row r="337">
      <c r="B337" s="8"/>
      <c r="C337" s="8"/>
      <c r="D337" s="8"/>
      <c r="E337" s="8"/>
      <c r="F337" s="129"/>
      <c r="G337" s="8"/>
      <c r="L337" s="172"/>
    </row>
    <row r="338">
      <c r="B338" s="8"/>
      <c r="C338" s="8"/>
      <c r="D338" s="8"/>
      <c r="E338" s="8"/>
      <c r="F338" s="129"/>
      <c r="G338" s="8"/>
      <c r="L338" s="172"/>
    </row>
    <row r="339">
      <c r="B339" s="8"/>
      <c r="C339" s="8"/>
      <c r="D339" s="8"/>
      <c r="E339" s="8"/>
      <c r="F339" s="129"/>
      <c r="G339" s="8"/>
      <c r="L339" s="172"/>
    </row>
    <row r="340">
      <c r="B340" s="8"/>
      <c r="C340" s="8"/>
      <c r="D340" s="8"/>
      <c r="E340" s="8"/>
      <c r="F340" s="129"/>
      <c r="G340" s="8"/>
      <c r="L340" s="172"/>
    </row>
    <row r="341">
      <c r="B341" s="8"/>
      <c r="C341" s="8"/>
      <c r="D341" s="8"/>
      <c r="E341" s="8"/>
      <c r="F341" s="129"/>
      <c r="G341" s="8"/>
      <c r="L341" s="172"/>
    </row>
    <row r="342">
      <c r="B342" s="8"/>
      <c r="C342" s="8"/>
      <c r="D342" s="8"/>
      <c r="E342" s="8"/>
      <c r="F342" s="129"/>
      <c r="G342" s="8"/>
      <c r="L342" s="172"/>
    </row>
    <row r="343">
      <c r="B343" s="8"/>
      <c r="C343" s="8"/>
      <c r="D343" s="8"/>
      <c r="E343" s="8"/>
      <c r="F343" s="129"/>
      <c r="G343" s="8"/>
      <c r="L343" s="172"/>
    </row>
    <row r="344">
      <c r="B344" s="8"/>
      <c r="C344" s="8"/>
      <c r="D344" s="8"/>
      <c r="E344" s="8"/>
      <c r="F344" s="129"/>
      <c r="G344" s="8"/>
      <c r="L344" s="172"/>
    </row>
    <row r="345">
      <c r="B345" s="8"/>
      <c r="C345" s="8"/>
      <c r="D345" s="8"/>
      <c r="E345" s="8"/>
      <c r="F345" s="129"/>
      <c r="G345" s="8"/>
      <c r="L345" s="172"/>
    </row>
    <row r="346">
      <c r="B346" s="8"/>
      <c r="C346" s="8"/>
      <c r="D346" s="8"/>
      <c r="E346" s="8"/>
      <c r="F346" s="129"/>
      <c r="G346" s="8"/>
      <c r="L346" s="172"/>
    </row>
    <row r="347">
      <c r="B347" s="8"/>
      <c r="C347" s="8"/>
      <c r="D347" s="8"/>
      <c r="E347" s="8"/>
      <c r="F347" s="129"/>
      <c r="G347" s="8"/>
      <c r="L347" s="172"/>
    </row>
    <row r="348">
      <c r="B348" s="8"/>
      <c r="C348" s="8"/>
      <c r="D348" s="8"/>
      <c r="E348" s="8"/>
      <c r="F348" s="129"/>
      <c r="G348" s="8"/>
      <c r="L348" s="172"/>
    </row>
    <row r="349">
      <c r="B349" s="8"/>
      <c r="C349" s="8"/>
      <c r="D349" s="8"/>
      <c r="E349" s="8"/>
      <c r="F349" s="129"/>
      <c r="G349" s="8"/>
      <c r="L349" s="172"/>
    </row>
    <row r="350">
      <c r="B350" s="8"/>
      <c r="C350" s="8"/>
      <c r="D350" s="8"/>
      <c r="E350" s="8"/>
      <c r="F350" s="129"/>
      <c r="G350" s="8"/>
      <c r="L350" s="172"/>
    </row>
    <row r="351">
      <c r="B351" s="8"/>
      <c r="C351" s="8"/>
      <c r="D351" s="8"/>
      <c r="E351" s="8"/>
      <c r="F351" s="129"/>
      <c r="G351" s="8"/>
      <c r="L351" s="172"/>
    </row>
    <row r="352">
      <c r="B352" s="8"/>
      <c r="C352" s="8"/>
      <c r="D352" s="8"/>
      <c r="E352" s="8"/>
      <c r="F352" s="129"/>
      <c r="G352" s="8"/>
      <c r="L352" s="172"/>
    </row>
    <row r="353">
      <c r="B353" s="8"/>
      <c r="C353" s="8"/>
      <c r="D353" s="8"/>
      <c r="E353" s="8"/>
      <c r="F353" s="129"/>
      <c r="G353" s="8"/>
      <c r="L353" s="172"/>
    </row>
    <row r="354">
      <c r="B354" s="8"/>
      <c r="C354" s="8"/>
      <c r="D354" s="8"/>
      <c r="E354" s="8"/>
      <c r="F354" s="129"/>
      <c r="G354" s="8"/>
      <c r="L354" s="172"/>
    </row>
    <row r="355">
      <c r="B355" s="8"/>
      <c r="C355" s="8"/>
      <c r="D355" s="8"/>
      <c r="E355" s="8"/>
      <c r="F355" s="129"/>
      <c r="G355" s="8"/>
      <c r="L355" s="172"/>
    </row>
    <row r="356">
      <c r="B356" s="8"/>
      <c r="C356" s="8"/>
      <c r="D356" s="8"/>
      <c r="E356" s="8"/>
      <c r="F356" s="129"/>
      <c r="G356" s="8"/>
      <c r="L356" s="172"/>
    </row>
    <row r="357">
      <c r="B357" s="8"/>
      <c r="C357" s="8"/>
      <c r="D357" s="8"/>
      <c r="E357" s="8"/>
      <c r="F357" s="129"/>
      <c r="G357" s="8"/>
      <c r="L357" s="172"/>
    </row>
    <row r="358">
      <c r="B358" s="8"/>
      <c r="C358" s="8"/>
      <c r="D358" s="8"/>
      <c r="E358" s="8"/>
      <c r="F358" s="129"/>
      <c r="G358" s="8"/>
      <c r="L358" s="172"/>
    </row>
    <row r="359">
      <c r="B359" s="8"/>
      <c r="C359" s="8"/>
      <c r="D359" s="8"/>
      <c r="E359" s="8"/>
      <c r="F359" s="129"/>
      <c r="G359" s="8"/>
      <c r="L359" s="172"/>
    </row>
    <row r="360">
      <c r="B360" s="8"/>
      <c r="C360" s="8"/>
      <c r="D360" s="8"/>
      <c r="E360" s="8"/>
      <c r="F360" s="129"/>
      <c r="G360" s="8"/>
      <c r="L360" s="172"/>
    </row>
    <row r="361">
      <c r="B361" s="8"/>
      <c r="C361" s="8"/>
      <c r="D361" s="8"/>
      <c r="E361" s="8"/>
      <c r="F361" s="129"/>
      <c r="G361" s="8"/>
      <c r="L361" s="172"/>
    </row>
    <row r="362">
      <c r="B362" s="8"/>
      <c r="C362" s="8"/>
      <c r="D362" s="8"/>
      <c r="E362" s="8"/>
      <c r="F362" s="129"/>
      <c r="G362" s="8"/>
      <c r="L362" s="172"/>
    </row>
    <row r="363">
      <c r="B363" s="8"/>
      <c r="C363" s="8"/>
      <c r="D363" s="8"/>
      <c r="E363" s="8"/>
      <c r="F363" s="129"/>
      <c r="G363" s="8"/>
      <c r="L363" s="172"/>
    </row>
    <row r="364">
      <c r="B364" s="8"/>
      <c r="C364" s="8"/>
      <c r="D364" s="8"/>
      <c r="E364" s="8"/>
      <c r="F364" s="129"/>
      <c r="G364" s="8"/>
      <c r="L364" s="172"/>
    </row>
    <row r="365">
      <c r="B365" s="8"/>
      <c r="C365" s="8"/>
      <c r="D365" s="8"/>
      <c r="E365" s="8"/>
      <c r="F365" s="129"/>
      <c r="G365" s="8"/>
      <c r="L365" s="172"/>
    </row>
    <row r="366">
      <c r="B366" s="8"/>
      <c r="C366" s="8"/>
      <c r="D366" s="8"/>
      <c r="E366" s="8"/>
      <c r="F366" s="129"/>
      <c r="G366" s="8"/>
      <c r="L366" s="172"/>
    </row>
    <row r="367">
      <c r="B367" s="8"/>
      <c r="C367" s="8"/>
      <c r="D367" s="8"/>
      <c r="E367" s="8"/>
      <c r="F367" s="129"/>
      <c r="G367" s="8"/>
      <c r="L367" s="172"/>
    </row>
    <row r="368">
      <c r="B368" s="8"/>
      <c r="C368" s="8"/>
      <c r="D368" s="8"/>
      <c r="E368" s="8"/>
      <c r="F368" s="129"/>
      <c r="G368" s="8"/>
      <c r="L368" s="172"/>
    </row>
    <row r="369">
      <c r="B369" s="8"/>
      <c r="C369" s="8"/>
      <c r="D369" s="8"/>
      <c r="E369" s="8"/>
      <c r="F369" s="129"/>
      <c r="G369" s="8"/>
      <c r="L369" s="172"/>
    </row>
    <row r="370">
      <c r="B370" s="8"/>
      <c r="C370" s="8"/>
      <c r="D370" s="8"/>
      <c r="E370" s="8"/>
      <c r="F370" s="129"/>
      <c r="G370" s="8"/>
      <c r="L370" s="172"/>
    </row>
    <row r="371">
      <c r="B371" s="8"/>
      <c r="C371" s="8"/>
      <c r="D371" s="8"/>
      <c r="E371" s="8"/>
      <c r="F371" s="129"/>
      <c r="G371" s="8"/>
      <c r="L371" s="172"/>
    </row>
    <row r="372">
      <c r="B372" s="8"/>
      <c r="C372" s="8"/>
      <c r="D372" s="8"/>
      <c r="E372" s="8"/>
      <c r="F372" s="129"/>
      <c r="G372" s="8"/>
      <c r="L372" s="172"/>
    </row>
    <row r="373">
      <c r="B373" s="8"/>
      <c r="C373" s="8"/>
      <c r="D373" s="8"/>
      <c r="E373" s="8"/>
      <c r="F373" s="129"/>
      <c r="G373" s="8"/>
      <c r="L373" s="172"/>
    </row>
    <row r="374">
      <c r="B374" s="8"/>
      <c r="C374" s="8"/>
      <c r="D374" s="8"/>
      <c r="E374" s="8"/>
      <c r="F374" s="129"/>
      <c r="G374" s="8"/>
      <c r="L374" s="172"/>
    </row>
    <row r="375">
      <c r="B375" s="8"/>
      <c r="C375" s="8"/>
      <c r="D375" s="8"/>
      <c r="E375" s="8"/>
      <c r="F375" s="129"/>
      <c r="G375" s="8"/>
      <c r="L375" s="172"/>
    </row>
    <row r="376">
      <c r="B376" s="8"/>
      <c r="C376" s="8"/>
      <c r="D376" s="8"/>
      <c r="E376" s="8"/>
      <c r="F376" s="129"/>
      <c r="G376" s="8"/>
      <c r="L376" s="172"/>
    </row>
    <row r="377">
      <c r="B377" s="8"/>
      <c r="C377" s="8"/>
      <c r="D377" s="8"/>
      <c r="E377" s="8"/>
      <c r="F377" s="129"/>
      <c r="G377" s="8"/>
      <c r="L377" s="172"/>
    </row>
    <row r="378">
      <c r="B378" s="8"/>
      <c r="C378" s="8"/>
      <c r="D378" s="8"/>
      <c r="E378" s="8"/>
      <c r="F378" s="129"/>
      <c r="G378" s="8"/>
      <c r="L378" s="172"/>
    </row>
    <row r="379">
      <c r="B379" s="8"/>
      <c r="C379" s="8"/>
      <c r="D379" s="8"/>
      <c r="E379" s="8"/>
      <c r="F379" s="129"/>
      <c r="G379" s="8"/>
      <c r="L379" s="172"/>
    </row>
    <row r="380">
      <c r="B380" s="8"/>
      <c r="C380" s="8"/>
      <c r="D380" s="8"/>
      <c r="E380" s="8"/>
      <c r="F380" s="129"/>
      <c r="G380" s="8"/>
      <c r="L380" s="172"/>
    </row>
    <row r="381">
      <c r="B381" s="8"/>
      <c r="C381" s="8"/>
      <c r="D381" s="8"/>
      <c r="E381" s="8"/>
      <c r="F381" s="129"/>
      <c r="G381" s="8"/>
      <c r="L381" s="172"/>
    </row>
    <row r="382">
      <c r="B382" s="8"/>
      <c r="C382" s="8"/>
      <c r="D382" s="8"/>
      <c r="E382" s="8"/>
      <c r="F382" s="129"/>
      <c r="G382" s="8"/>
      <c r="L382" s="172"/>
    </row>
    <row r="383">
      <c r="B383" s="8"/>
      <c r="C383" s="8"/>
      <c r="D383" s="8"/>
      <c r="E383" s="8"/>
      <c r="F383" s="129"/>
      <c r="G383" s="8"/>
      <c r="L383" s="172"/>
    </row>
    <row r="384">
      <c r="B384" s="8"/>
      <c r="C384" s="8"/>
      <c r="D384" s="8"/>
      <c r="E384" s="8"/>
      <c r="F384" s="129"/>
      <c r="G384" s="8"/>
      <c r="L384" s="172"/>
    </row>
    <row r="385">
      <c r="B385" s="8"/>
      <c r="C385" s="8"/>
      <c r="D385" s="8"/>
      <c r="E385" s="8"/>
      <c r="F385" s="129"/>
      <c r="G385" s="8"/>
      <c r="L385" s="172"/>
    </row>
    <row r="386">
      <c r="B386" s="8"/>
      <c r="C386" s="8"/>
      <c r="D386" s="8"/>
      <c r="E386" s="8"/>
      <c r="F386" s="129"/>
      <c r="G386" s="8"/>
      <c r="L386" s="172"/>
    </row>
    <row r="387">
      <c r="B387" s="8"/>
      <c r="C387" s="8"/>
      <c r="D387" s="8"/>
      <c r="E387" s="8"/>
      <c r="F387" s="129"/>
      <c r="G387" s="8"/>
      <c r="L387" s="172"/>
    </row>
    <row r="388">
      <c r="B388" s="8"/>
      <c r="C388" s="8"/>
      <c r="D388" s="8"/>
      <c r="E388" s="8"/>
      <c r="F388" s="129"/>
      <c r="G388" s="8"/>
      <c r="L388" s="172"/>
    </row>
    <row r="389">
      <c r="B389" s="8"/>
      <c r="C389" s="8"/>
      <c r="D389" s="8"/>
      <c r="E389" s="8"/>
      <c r="F389" s="129"/>
      <c r="G389" s="8"/>
      <c r="L389" s="172"/>
    </row>
    <row r="390">
      <c r="B390" s="8"/>
      <c r="C390" s="8"/>
      <c r="D390" s="8"/>
      <c r="E390" s="8"/>
      <c r="F390" s="129"/>
      <c r="G390" s="8"/>
      <c r="L390" s="172"/>
    </row>
    <row r="391">
      <c r="B391" s="8"/>
      <c r="C391" s="8"/>
      <c r="D391" s="8"/>
      <c r="E391" s="8"/>
      <c r="F391" s="129"/>
      <c r="G391" s="8"/>
      <c r="L391" s="172"/>
    </row>
    <row r="392">
      <c r="B392" s="8"/>
      <c r="C392" s="8"/>
      <c r="D392" s="8"/>
      <c r="E392" s="8"/>
      <c r="F392" s="129"/>
      <c r="G392" s="8"/>
      <c r="L392" s="172"/>
    </row>
    <row r="393">
      <c r="B393" s="8"/>
      <c r="C393" s="8"/>
      <c r="D393" s="8"/>
      <c r="E393" s="8"/>
      <c r="F393" s="129"/>
      <c r="G393" s="8"/>
      <c r="L393" s="172"/>
    </row>
    <row r="394">
      <c r="B394" s="8"/>
      <c r="C394" s="8"/>
      <c r="D394" s="8"/>
      <c r="E394" s="8"/>
      <c r="F394" s="129"/>
      <c r="G394" s="8"/>
      <c r="L394" s="172"/>
    </row>
    <row r="395">
      <c r="B395" s="8"/>
      <c r="C395" s="8"/>
      <c r="D395" s="8"/>
      <c r="E395" s="8"/>
      <c r="F395" s="129"/>
      <c r="G395" s="8"/>
      <c r="L395" s="172"/>
    </row>
    <row r="396">
      <c r="B396" s="8"/>
      <c r="C396" s="8"/>
      <c r="D396" s="8"/>
      <c r="E396" s="8"/>
      <c r="F396" s="129"/>
      <c r="G396" s="8"/>
      <c r="L396" s="172"/>
    </row>
    <row r="397">
      <c r="B397" s="8"/>
      <c r="C397" s="8"/>
      <c r="D397" s="8"/>
      <c r="E397" s="8"/>
      <c r="F397" s="129"/>
      <c r="G397" s="8"/>
      <c r="L397" s="172"/>
    </row>
    <row r="398">
      <c r="B398" s="8"/>
      <c r="C398" s="8"/>
      <c r="D398" s="8"/>
      <c r="E398" s="8"/>
      <c r="F398" s="129"/>
      <c r="G398" s="8"/>
      <c r="L398" s="172"/>
    </row>
    <row r="399">
      <c r="B399" s="8"/>
      <c r="C399" s="8"/>
      <c r="D399" s="8"/>
      <c r="E399" s="8"/>
      <c r="F399" s="129"/>
      <c r="G399" s="8"/>
      <c r="L399" s="172"/>
    </row>
    <row r="400">
      <c r="B400" s="8"/>
      <c r="C400" s="8"/>
      <c r="D400" s="8"/>
      <c r="E400" s="8"/>
      <c r="F400" s="129"/>
      <c r="G400" s="8"/>
      <c r="L400" s="172"/>
    </row>
    <row r="401">
      <c r="B401" s="8"/>
      <c r="C401" s="8"/>
      <c r="D401" s="8"/>
      <c r="E401" s="8"/>
      <c r="F401" s="129"/>
      <c r="G401" s="8"/>
      <c r="L401" s="172"/>
    </row>
    <row r="402">
      <c r="B402" s="8"/>
      <c r="C402" s="8"/>
      <c r="D402" s="8"/>
      <c r="E402" s="8"/>
      <c r="F402" s="129"/>
      <c r="G402" s="8"/>
      <c r="L402" s="172"/>
    </row>
    <row r="403">
      <c r="B403" s="8"/>
      <c r="C403" s="8"/>
      <c r="D403" s="8"/>
      <c r="E403" s="8"/>
      <c r="F403" s="129"/>
      <c r="G403" s="8"/>
      <c r="L403" s="172"/>
    </row>
    <row r="404">
      <c r="B404" s="8"/>
      <c r="C404" s="8"/>
      <c r="D404" s="8"/>
      <c r="E404" s="8"/>
      <c r="F404" s="129"/>
      <c r="G404" s="8"/>
      <c r="L404" s="172"/>
    </row>
    <row r="405">
      <c r="B405" s="8"/>
      <c r="C405" s="8"/>
      <c r="D405" s="8"/>
      <c r="E405" s="8"/>
      <c r="F405" s="129"/>
      <c r="G405" s="8"/>
      <c r="L405" s="172"/>
    </row>
    <row r="406">
      <c r="B406" s="8"/>
      <c r="C406" s="8"/>
      <c r="D406" s="8"/>
      <c r="E406" s="8"/>
      <c r="F406" s="129"/>
      <c r="G406" s="8"/>
      <c r="L406" s="172"/>
    </row>
    <row r="407">
      <c r="B407" s="8"/>
      <c r="C407" s="8"/>
      <c r="D407" s="8"/>
      <c r="E407" s="8"/>
      <c r="F407" s="129"/>
      <c r="G407" s="8"/>
      <c r="L407" s="172"/>
    </row>
    <row r="408">
      <c r="B408" s="8"/>
      <c r="C408" s="8"/>
      <c r="D408" s="8"/>
      <c r="E408" s="8"/>
      <c r="F408" s="129"/>
      <c r="G408" s="8"/>
      <c r="L408" s="172"/>
    </row>
    <row r="409">
      <c r="B409" s="8"/>
      <c r="C409" s="8"/>
      <c r="D409" s="8"/>
      <c r="E409" s="8"/>
      <c r="F409" s="129"/>
      <c r="G409" s="8"/>
      <c r="L409" s="172"/>
    </row>
    <row r="410">
      <c r="B410" s="8"/>
      <c r="C410" s="8"/>
      <c r="D410" s="8"/>
      <c r="E410" s="8"/>
      <c r="F410" s="129"/>
      <c r="G410" s="8"/>
      <c r="L410" s="172"/>
    </row>
    <row r="411">
      <c r="B411" s="8"/>
      <c r="C411" s="8"/>
      <c r="D411" s="8"/>
      <c r="E411" s="8"/>
      <c r="F411" s="129"/>
      <c r="G411" s="8"/>
      <c r="L411" s="172"/>
    </row>
    <row r="412">
      <c r="B412" s="8"/>
      <c r="C412" s="8"/>
      <c r="D412" s="8"/>
      <c r="E412" s="8"/>
      <c r="F412" s="129"/>
      <c r="G412" s="8"/>
      <c r="L412" s="172"/>
    </row>
    <row r="413">
      <c r="B413" s="8"/>
      <c r="C413" s="8"/>
      <c r="D413" s="8"/>
      <c r="E413" s="8"/>
      <c r="F413" s="129"/>
      <c r="G413" s="8"/>
      <c r="L413" s="172"/>
    </row>
    <row r="414">
      <c r="B414" s="8"/>
      <c r="C414" s="8"/>
      <c r="D414" s="8"/>
      <c r="E414" s="8"/>
      <c r="F414" s="129"/>
      <c r="G414" s="8"/>
      <c r="L414" s="172"/>
    </row>
    <row r="415">
      <c r="B415" s="8"/>
      <c r="C415" s="8"/>
      <c r="D415" s="8"/>
      <c r="E415" s="8"/>
      <c r="F415" s="129"/>
      <c r="G415" s="8"/>
      <c r="L415" s="172"/>
    </row>
    <row r="416">
      <c r="B416" s="8"/>
      <c r="C416" s="8"/>
      <c r="D416" s="8"/>
      <c r="E416" s="8"/>
      <c r="F416" s="129"/>
      <c r="G416" s="8"/>
      <c r="L416" s="172"/>
    </row>
    <row r="417">
      <c r="B417" s="8"/>
      <c r="C417" s="8"/>
      <c r="D417" s="8"/>
      <c r="E417" s="8"/>
      <c r="F417" s="129"/>
      <c r="G417" s="8"/>
      <c r="L417" s="172"/>
    </row>
    <row r="418">
      <c r="B418" s="8"/>
      <c r="C418" s="8"/>
      <c r="D418" s="8"/>
      <c r="E418" s="8"/>
      <c r="F418" s="129"/>
      <c r="G418" s="8"/>
      <c r="L418" s="172"/>
    </row>
    <row r="419">
      <c r="B419" s="8"/>
      <c r="C419" s="8"/>
      <c r="D419" s="8"/>
      <c r="E419" s="8"/>
      <c r="F419" s="129"/>
      <c r="G419" s="8"/>
      <c r="L419" s="172"/>
    </row>
    <row r="420">
      <c r="B420" s="8"/>
      <c r="C420" s="8"/>
      <c r="D420" s="8"/>
      <c r="E420" s="8"/>
      <c r="F420" s="129"/>
      <c r="G420" s="8"/>
      <c r="L420" s="172"/>
    </row>
    <row r="421">
      <c r="B421" s="8"/>
      <c r="C421" s="8"/>
      <c r="D421" s="8"/>
      <c r="E421" s="8"/>
      <c r="F421" s="129"/>
      <c r="G421" s="8"/>
      <c r="L421" s="172"/>
    </row>
    <row r="422">
      <c r="B422" s="8"/>
      <c r="C422" s="8"/>
      <c r="D422" s="8"/>
      <c r="E422" s="8"/>
      <c r="F422" s="129"/>
      <c r="G422" s="8"/>
      <c r="L422" s="172"/>
    </row>
    <row r="423">
      <c r="B423" s="8"/>
      <c r="C423" s="8"/>
      <c r="D423" s="8"/>
      <c r="E423" s="8"/>
      <c r="F423" s="129"/>
      <c r="G423" s="8"/>
      <c r="L423" s="172"/>
    </row>
    <row r="424">
      <c r="B424" s="8"/>
      <c r="C424" s="8"/>
      <c r="D424" s="8"/>
      <c r="E424" s="8"/>
      <c r="F424" s="129"/>
      <c r="G424" s="8"/>
      <c r="L424" s="172"/>
    </row>
    <row r="425">
      <c r="B425" s="8"/>
      <c r="C425" s="8"/>
      <c r="D425" s="8"/>
      <c r="E425" s="8"/>
      <c r="F425" s="129"/>
      <c r="G425" s="8"/>
      <c r="L425" s="172"/>
    </row>
    <row r="426">
      <c r="B426" s="8"/>
      <c r="C426" s="8"/>
      <c r="D426" s="8"/>
      <c r="E426" s="8"/>
      <c r="F426" s="129"/>
      <c r="G426" s="8"/>
      <c r="L426" s="172"/>
    </row>
    <row r="427">
      <c r="B427" s="8"/>
      <c r="C427" s="8"/>
      <c r="D427" s="8"/>
      <c r="E427" s="8"/>
      <c r="F427" s="129"/>
      <c r="G427" s="8"/>
      <c r="L427" s="172"/>
    </row>
    <row r="428">
      <c r="B428" s="8"/>
      <c r="C428" s="8"/>
      <c r="D428" s="8"/>
      <c r="E428" s="8"/>
      <c r="F428" s="129"/>
      <c r="G428" s="8"/>
      <c r="L428" s="172"/>
    </row>
    <row r="429">
      <c r="B429" s="8"/>
      <c r="C429" s="8"/>
      <c r="D429" s="8"/>
      <c r="E429" s="8"/>
      <c r="F429" s="129"/>
      <c r="G429" s="8"/>
      <c r="L429" s="172"/>
    </row>
    <row r="430">
      <c r="B430" s="8"/>
      <c r="C430" s="8"/>
      <c r="D430" s="8"/>
      <c r="E430" s="8"/>
      <c r="F430" s="129"/>
      <c r="G430" s="8"/>
      <c r="L430" s="172"/>
    </row>
    <row r="431">
      <c r="B431" s="8"/>
      <c r="C431" s="8"/>
      <c r="D431" s="8"/>
      <c r="E431" s="8"/>
      <c r="F431" s="129"/>
      <c r="G431" s="8"/>
      <c r="L431" s="172"/>
    </row>
    <row r="432">
      <c r="B432" s="8"/>
      <c r="C432" s="8"/>
      <c r="D432" s="8"/>
      <c r="E432" s="8"/>
      <c r="F432" s="129"/>
      <c r="G432" s="8"/>
      <c r="L432" s="172"/>
    </row>
    <row r="433">
      <c r="B433" s="8"/>
      <c r="C433" s="8"/>
      <c r="D433" s="8"/>
      <c r="E433" s="8"/>
      <c r="F433" s="129"/>
      <c r="G433" s="8"/>
      <c r="L433" s="172"/>
    </row>
    <row r="434">
      <c r="B434" s="8"/>
      <c r="C434" s="8"/>
      <c r="D434" s="8"/>
      <c r="E434" s="8"/>
      <c r="F434" s="129"/>
      <c r="G434" s="8"/>
      <c r="L434" s="172"/>
    </row>
    <row r="435">
      <c r="B435" s="8"/>
      <c r="C435" s="8"/>
      <c r="D435" s="8"/>
      <c r="E435" s="8"/>
      <c r="F435" s="129"/>
      <c r="G435" s="8"/>
      <c r="L435" s="172"/>
    </row>
    <row r="436">
      <c r="B436" s="8"/>
      <c r="C436" s="8"/>
      <c r="D436" s="8"/>
      <c r="E436" s="8"/>
      <c r="F436" s="129"/>
      <c r="G436" s="8"/>
      <c r="L436" s="172"/>
    </row>
    <row r="437">
      <c r="B437" s="8"/>
      <c r="C437" s="8"/>
      <c r="D437" s="8"/>
      <c r="E437" s="8"/>
      <c r="F437" s="129"/>
      <c r="G437" s="8"/>
      <c r="L437" s="172"/>
    </row>
    <row r="438">
      <c r="B438" s="8"/>
      <c r="C438" s="8"/>
      <c r="D438" s="8"/>
      <c r="E438" s="8"/>
      <c r="F438" s="129"/>
      <c r="G438" s="8"/>
      <c r="L438" s="172"/>
    </row>
    <row r="439">
      <c r="B439" s="8"/>
      <c r="C439" s="8"/>
      <c r="D439" s="8"/>
      <c r="E439" s="8"/>
      <c r="F439" s="129"/>
      <c r="G439" s="8"/>
      <c r="L439" s="172"/>
    </row>
    <row r="440">
      <c r="B440" s="8"/>
      <c r="C440" s="8"/>
      <c r="D440" s="8"/>
      <c r="E440" s="8"/>
      <c r="F440" s="129"/>
      <c r="G440" s="8"/>
      <c r="L440" s="172"/>
    </row>
    <row r="441">
      <c r="B441" s="8"/>
      <c r="C441" s="8"/>
      <c r="D441" s="8"/>
      <c r="E441" s="8"/>
      <c r="F441" s="129"/>
      <c r="G441" s="8"/>
      <c r="L441" s="172"/>
    </row>
    <row r="442">
      <c r="B442" s="8"/>
      <c r="C442" s="8"/>
      <c r="D442" s="8"/>
      <c r="E442" s="8"/>
      <c r="F442" s="129"/>
      <c r="G442" s="8"/>
      <c r="L442" s="172"/>
    </row>
    <row r="443">
      <c r="B443" s="8"/>
      <c r="C443" s="8"/>
      <c r="D443" s="8"/>
      <c r="E443" s="8"/>
      <c r="F443" s="129"/>
      <c r="G443" s="8"/>
      <c r="L443" s="172"/>
    </row>
    <row r="444">
      <c r="B444" s="8"/>
      <c r="C444" s="8"/>
      <c r="D444" s="8"/>
      <c r="E444" s="8"/>
      <c r="F444" s="129"/>
      <c r="G444" s="8"/>
      <c r="L444" s="172"/>
    </row>
    <row r="445">
      <c r="B445" s="8"/>
      <c r="C445" s="8"/>
      <c r="D445" s="8"/>
      <c r="E445" s="8"/>
      <c r="F445" s="129"/>
      <c r="G445" s="8"/>
      <c r="L445" s="172"/>
    </row>
    <row r="446">
      <c r="B446" s="8"/>
      <c r="C446" s="8"/>
      <c r="D446" s="8"/>
      <c r="E446" s="8"/>
      <c r="F446" s="129"/>
      <c r="G446" s="8"/>
      <c r="L446" s="172"/>
    </row>
    <row r="447">
      <c r="B447" s="8"/>
      <c r="C447" s="8"/>
      <c r="D447" s="8"/>
      <c r="E447" s="8"/>
      <c r="F447" s="129"/>
      <c r="G447" s="8"/>
      <c r="L447" s="172"/>
    </row>
    <row r="448">
      <c r="B448" s="8"/>
      <c r="C448" s="8"/>
      <c r="D448" s="8"/>
      <c r="E448" s="8"/>
      <c r="F448" s="129"/>
      <c r="G448" s="8"/>
      <c r="L448" s="172"/>
    </row>
    <row r="449">
      <c r="B449" s="8"/>
      <c r="C449" s="8"/>
      <c r="D449" s="8"/>
      <c r="E449" s="8"/>
      <c r="F449" s="129"/>
      <c r="G449" s="8"/>
      <c r="L449" s="172"/>
    </row>
    <row r="450">
      <c r="B450" s="8"/>
      <c r="C450" s="8"/>
      <c r="D450" s="8"/>
      <c r="E450" s="8"/>
      <c r="F450" s="129"/>
      <c r="G450" s="8"/>
      <c r="L450" s="172"/>
    </row>
    <row r="451">
      <c r="B451" s="8"/>
      <c r="C451" s="8"/>
      <c r="D451" s="8"/>
      <c r="E451" s="8"/>
      <c r="F451" s="129"/>
      <c r="G451" s="8"/>
      <c r="L451" s="172"/>
    </row>
    <row r="452">
      <c r="B452" s="8"/>
      <c r="C452" s="8"/>
      <c r="D452" s="8"/>
      <c r="E452" s="8"/>
      <c r="F452" s="129"/>
      <c r="G452" s="8"/>
      <c r="L452" s="172"/>
    </row>
    <row r="453">
      <c r="B453" s="8"/>
      <c r="C453" s="8"/>
      <c r="D453" s="8"/>
      <c r="E453" s="8"/>
      <c r="F453" s="129"/>
      <c r="G453" s="8"/>
      <c r="L453" s="172"/>
    </row>
    <row r="454">
      <c r="B454" s="8"/>
      <c r="C454" s="8"/>
      <c r="D454" s="8"/>
      <c r="E454" s="8"/>
      <c r="F454" s="129"/>
      <c r="G454" s="8"/>
      <c r="L454" s="172"/>
    </row>
    <row r="455">
      <c r="B455" s="8"/>
      <c r="C455" s="8"/>
      <c r="D455" s="8"/>
      <c r="E455" s="8"/>
      <c r="F455" s="129"/>
      <c r="G455" s="8"/>
      <c r="L455" s="172"/>
    </row>
    <row r="456">
      <c r="B456" s="8"/>
      <c r="C456" s="8"/>
      <c r="D456" s="8"/>
      <c r="E456" s="8"/>
      <c r="F456" s="129"/>
      <c r="G456" s="8"/>
      <c r="L456" s="172"/>
    </row>
    <row r="457">
      <c r="B457" s="8"/>
      <c r="C457" s="8"/>
      <c r="D457" s="8"/>
      <c r="E457" s="8"/>
      <c r="F457" s="129"/>
      <c r="G457" s="8"/>
      <c r="L457" s="172"/>
    </row>
    <row r="458">
      <c r="B458" s="8"/>
      <c r="C458" s="8"/>
      <c r="D458" s="8"/>
      <c r="E458" s="8"/>
      <c r="F458" s="129"/>
      <c r="G458" s="8"/>
      <c r="L458" s="172"/>
    </row>
    <row r="459">
      <c r="B459" s="8"/>
      <c r="C459" s="8"/>
      <c r="D459" s="8"/>
      <c r="E459" s="8"/>
      <c r="F459" s="129"/>
      <c r="G459" s="8"/>
      <c r="L459" s="172"/>
    </row>
    <row r="460">
      <c r="B460" s="8"/>
      <c r="C460" s="8"/>
      <c r="D460" s="8"/>
      <c r="E460" s="8"/>
      <c r="F460" s="129"/>
      <c r="G460" s="8"/>
      <c r="L460" s="172"/>
    </row>
    <row r="461">
      <c r="B461" s="8"/>
      <c r="C461" s="8"/>
      <c r="D461" s="8"/>
      <c r="E461" s="8"/>
      <c r="F461" s="129"/>
      <c r="G461" s="8"/>
      <c r="L461" s="172"/>
    </row>
    <row r="462">
      <c r="B462" s="8"/>
      <c r="C462" s="8"/>
      <c r="D462" s="8"/>
      <c r="E462" s="8"/>
      <c r="F462" s="129"/>
      <c r="G462" s="8"/>
      <c r="L462" s="172"/>
    </row>
    <row r="463">
      <c r="B463" s="8"/>
      <c r="C463" s="8"/>
      <c r="D463" s="8"/>
      <c r="E463" s="8"/>
      <c r="F463" s="129"/>
      <c r="G463" s="8"/>
      <c r="L463" s="172"/>
    </row>
    <row r="464">
      <c r="B464" s="8"/>
      <c r="C464" s="8"/>
      <c r="D464" s="8"/>
      <c r="E464" s="8"/>
      <c r="F464" s="129"/>
      <c r="G464" s="8"/>
      <c r="L464" s="172"/>
    </row>
    <row r="465">
      <c r="B465" s="8"/>
      <c r="C465" s="8"/>
      <c r="D465" s="8"/>
      <c r="E465" s="8"/>
      <c r="F465" s="129"/>
      <c r="G465" s="8"/>
      <c r="L465" s="172"/>
    </row>
    <row r="466">
      <c r="B466" s="8"/>
      <c r="C466" s="8"/>
      <c r="D466" s="8"/>
      <c r="E466" s="8"/>
      <c r="F466" s="129"/>
      <c r="G466" s="8"/>
      <c r="L466" s="172"/>
    </row>
    <row r="467">
      <c r="B467" s="8"/>
      <c r="C467" s="8"/>
      <c r="D467" s="8"/>
      <c r="E467" s="8"/>
      <c r="F467" s="129"/>
      <c r="G467" s="8"/>
      <c r="L467" s="172"/>
    </row>
    <row r="468">
      <c r="B468" s="8"/>
      <c r="C468" s="8"/>
      <c r="D468" s="8"/>
      <c r="E468" s="8"/>
      <c r="F468" s="129"/>
      <c r="G468" s="8"/>
      <c r="L468" s="172"/>
    </row>
    <row r="469">
      <c r="B469" s="8"/>
      <c r="C469" s="8"/>
      <c r="D469" s="8"/>
      <c r="E469" s="8"/>
      <c r="F469" s="129"/>
      <c r="G469" s="8"/>
      <c r="L469" s="172"/>
    </row>
    <row r="470">
      <c r="B470" s="8"/>
      <c r="C470" s="8"/>
      <c r="D470" s="8"/>
      <c r="E470" s="8"/>
      <c r="F470" s="129"/>
      <c r="G470" s="8"/>
      <c r="L470" s="172"/>
    </row>
    <row r="471">
      <c r="B471" s="8"/>
      <c r="C471" s="8"/>
      <c r="D471" s="8"/>
      <c r="E471" s="8"/>
      <c r="F471" s="129"/>
      <c r="G471" s="8"/>
      <c r="L471" s="172"/>
    </row>
    <row r="472">
      <c r="B472" s="8"/>
      <c r="C472" s="8"/>
      <c r="D472" s="8"/>
      <c r="E472" s="8"/>
      <c r="F472" s="129"/>
      <c r="G472" s="8"/>
      <c r="L472" s="172"/>
    </row>
    <row r="473">
      <c r="B473" s="8"/>
      <c r="C473" s="8"/>
      <c r="D473" s="8"/>
      <c r="E473" s="8"/>
      <c r="F473" s="129"/>
      <c r="G473" s="8"/>
      <c r="L473" s="172"/>
    </row>
    <row r="474">
      <c r="B474" s="8"/>
      <c r="C474" s="8"/>
      <c r="D474" s="8"/>
      <c r="E474" s="8"/>
      <c r="F474" s="129"/>
      <c r="G474" s="8"/>
      <c r="L474" s="172"/>
    </row>
    <row r="475">
      <c r="B475" s="8"/>
      <c r="C475" s="8"/>
      <c r="D475" s="8"/>
      <c r="E475" s="8"/>
      <c r="F475" s="129"/>
      <c r="G475" s="8"/>
      <c r="L475" s="172"/>
    </row>
    <row r="476">
      <c r="B476" s="8"/>
      <c r="C476" s="8"/>
      <c r="D476" s="8"/>
      <c r="E476" s="8"/>
      <c r="F476" s="129"/>
      <c r="G476" s="8"/>
      <c r="L476" s="172"/>
    </row>
    <row r="477">
      <c r="B477" s="8"/>
      <c r="C477" s="8"/>
      <c r="D477" s="8"/>
      <c r="E477" s="8"/>
      <c r="F477" s="129"/>
      <c r="G477" s="8"/>
      <c r="L477" s="172"/>
    </row>
    <row r="478">
      <c r="B478" s="8"/>
      <c r="C478" s="8"/>
      <c r="D478" s="8"/>
      <c r="E478" s="8"/>
      <c r="F478" s="129"/>
      <c r="G478" s="8"/>
      <c r="L478" s="172"/>
    </row>
    <row r="479">
      <c r="B479" s="8"/>
      <c r="C479" s="8"/>
      <c r="D479" s="8"/>
      <c r="E479" s="8"/>
      <c r="F479" s="129"/>
      <c r="G479" s="8"/>
      <c r="L479" s="172"/>
    </row>
    <row r="480">
      <c r="B480" s="8"/>
      <c r="C480" s="8"/>
      <c r="D480" s="8"/>
      <c r="E480" s="8"/>
      <c r="F480" s="129"/>
      <c r="G480" s="8"/>
      <c r="L480" s="172"/>
    </row>
    <row r="481">
      <c r="B481" s="8"/>
      <c r="C481" s="8"/>
      <c r="D481" s="8"/>
      <c r="E481" s="8"/>
      <c r="F481" s="129"/>
      <c r="G481" s="8"/>
      <c r="L481" s="172"/>
    </row>
    <row r="482">
      <c r="B482" s="8"/>
      <c r="C482" s="8"/>
      <c r="D482" s="8"/>
      <c r="E482" s="8"/>
      <c r="F482" s="129"/>
      <c r="G482" s="8"/>
      <c r="L482" s="172"/>
    </row>
    <row r="483">
      <c r="B483" s="8"/>
      <c r="C483" s="8"/>
      <c r="D483" s="8"/>
      <c r="E483" s="8"/>
      <c r="F483" s="129"/>
      <c r="G483" s="8"/>
      <c r="L483" s="172"/>
    </row>
    <row r="484">
      <c r="B484" s="8"/>
      <c r="C484" s="8"/>
      <c r="D484" s="8"/>
      <c r="E484" s="8"/>
      <c r="F484" s="129"/>
      <c r="G484" s="8"/>
      <c r="L484" s="172"/>
    </row>
    <row r="485">
      <c r="B485" s="8"/>
      <c r="C485" s="8"/>
      <c r="D485" s="8"/>
      <c r="E485" s="8"/>
      <c r="F485" s="129"/>
      <c r="G485" s="8"/>
      <c r="L485" s="172"/>
    </row>
    <row r="486">
      <c r="B486" s="8"/>
      <c r="C486" s="8"/>
      <c r="D486" s="8"/>
      <c r="E486" s="8"/>
      <c r="F486" s="129"/>
      <c r="G486" s="8"/>
      <c r="L486" s="172"/>
    </row>
    <row r="487">
      <c r="B487" s="8"/>
      <c r="C487" s="8"/>
      <c r="D487" s="8"/>
      <c r="E487" s="8"/>
      <c r="F487" s="129"/>
      <c r="G487" s="8"/>
      <c r="L487" s="172"/>
    </row>
    <row r="488">
      <c r="B488" s="8"/>
      <c r="C488" s="8"/>
      <c r="D488" s="8"/>
      <c r="E488" s="8"/>
      <c r="F488" s="129"/>
      <c r="G488" s="8"/>
      <c r="L488" s="172"/>
    </row>
    <row r="489">
      <c r="B489" s="8"/>
      <c r="C489" s="8"/>
      <c r="D489" s="8"/>
      <c r="E489" s="8"/>
      <c r="F489" s="129"/>
      <c r="G489" s="8"/>
      <c r="L489" s="172"/>
    </row>
    <row r="490">
      <c r="B490" s="8"/>
      <c r="C490" s="8"/>
      <c r="D490" s="8"/>
      <c r="E490" s="8"/>
      <c r="F490" s="129"/>
      <c r="G490" s="8"/>
      <c r="L490" s="172"/>
    </row>
    <row r="491">
      <c r="B491" s="8"/>
      <c r="C491" s="8"/>
      <c r="D491" s="8"/>
      <c r="E491" s="8"/>
      <c r="F491" s="129"/>
      <c r="G491" s="8"/>
      <c r="L491" s="172"/>
    </row>
    <row r="492">
      <c r="B492" s="8"/>
      <c r="C492" s="8"/>
      <c r="D492" s="8"/>
      <c r="E492" s="8"/>
      <c r="F492" s="129"/>
      <c r="G492" s="8"/>
      <c r="L492" s="172"/>
    </row>
    <row r="493">
      <c r="B493" s="8"/>
      <c r="C493" s="8"/>
      <c r="D493" s="8"/>
      <c r="E493" s="8"/>
      <c r="F493" s="129"/>
      <c r="G493" s="8"/>
      <c r="L493" s="172"/>
    </row>
    <row r="494">
      <c r="B494" s="8"/>
      <c r="C494" s="8"/>
      <c r="D494" s="8"/>
      <c r="E494" s="8"/>
      <c r="F494" s="129"/>
      <c r="G494" s="8"/>
      <c r="L494" s="172"/>
    </row>
    <row r="495">
      <c r="B495" s="8"/>
      <c r="C495" s="8"/>
      <c r="D495" s="8"/>
      <c r="E495" s="8"/>
      <c r="F495" s="129"/>
      <c r="G495" s="8"/>
      <c r="L495" s="172"/>
    </row>
    <row r="496">
      <c r="B496" s="8"/>
      <c r="C496" s="8"/>
      <c r="D496" s="8"/>
      <c r="E496" s="8"/>
      <c r="F496" s="129"/>
      <c r="G496" s="8"/>
      <c r="L496" s="172"/>
    </row>
    <row r="497">
      <c r="B497" s="8"/>
      <c r="C497" s="8"/>
      <c r="D497" s="8"/>
      <c r="E497" s="8"/>
      <c r="F497" s="129"/>
      <c r="G497" s="8"/>
      <c r="L497" s="172"/>
    </row>
    <row r="498">
      <c r="B498" s="8"/>
      <c r="C498" s="8"/>
      <c r="D498" s="8"/>
      <c r="E498" s="8"/>
      <c r="F498" s="129"/>
      <c r="G498" s="8"/>
      <c r="L498" s="172"/>
    </row>
    <row r="499">
      <c r="B499" s="8"/>
      <c r="C499" s="8"/>
      <c r="D499" s="8"/>
      <c r="E499" s="8"/>
      <c r="F499" s="129"/>
      <c r="G499" s="8"/>
      <c r="L499" s="172"/>
    </row>
    <row r="500">
      <c r="B500" s="8"/>
      <c r="C500" s="8"/>
      <c r="D500" s="8"/>
      <c r="E500" s="8"/>
      <c r="F500" s="129"/>
      <c r="G500" s="8"/>
      <c r="L500" s="172"/>
    </row>
    <row r="501">
      <c r="B501" s="8"/>
      <c r="C501" s="8"/>
      <c r="D501" s="8"/>
      <c r="E501" s="8"/>
      <c r="F501" s="129"/>
      <c r="G501" s="8"/>
      <c r="L501" s="172"/>
    </row>
    <row r="502">
      <c r="B502" s="8"/>
      <c r="C502" s="8"/>
      <c r="D502" s="8"/>
      <c r="E502" s="8"/>
      <c r="F502" s="129"/>
      <c r="G502" s="8"/>
      <c r="L502" s="172"/>
    </row>
    <row r="503">
      <c r="B503" s="8"/>
      <c r="C503" s="8"/>
      <c r="D503" s="8"/>
      <c r="E503" s="8"/>
      <c r="F503" s="129"/>
      <c r="G503" s="8"/>
      <c r="L503" s="172"/>
    </row>
    <row r="504">
      <c r="B504" s="8"/>
      <c r="C504" s="8"/>
      <c r="D504" s="8"/>
      <c r="E504" s="8"/>
      <c r="F504" s="129"/>
      <c r="G504" s="8"/>
      <c r="L504" s="172"/>
    </row>
    <row r="505">
      <c r="B505" s="8"/>
      <c r="C505" s="8"/>
      <c r="D505" s="8"/>
      <c r="E505" s="8"/>
      <c r="F505" s="129"/>
      <c r="G505" s="8"/>
      <c r="L505" s="172"/>
    </row>
    <row r="506">
      <c r="B506" s="8"/>
      <c r="C506" s="8"/>
      <c r="D506" s="8"/>
      <c r="E506" s="8"/>
      <c r="F506" s="129"/>
      <c r="G506" s="8"/>
      <c r="L506" s="172"/>
    </row>
    <row r="507">
      <c r="B507" s="8"/>
      <c r="C507" s="8"/>
      <c r="D507" s="8"/>
      <c r="E507" s="8"/>
      <c r="F507" s="129"/>
      <c r="G507" s="8"/>
      <c r="L507" s="172"/>
    </row>
    <row r="508">
      <c r="B508" s="8"/>
      <c r="C508" s="8"/>
      <c r="D508" s="8"/>
      <c r="E508" s="8"/>
      <c r="F508" s="129"/>
      <c r="G508" s="8"/>
      <c r="L508" s="172"/>
    </row>
    <row r="509">
      <c r="B509" s="8"/>
      <c r="C509" s="8"/>
      <c r="D509" s="8"/>
      <c r="E509" s="8"/>
      <c r="F509" s="129"/>
      <c r="G509" s="8"/>
      <c r="L509" s="172"/>
    </row>
    <row r="510">
      <c r="B510" s="8"/>
      <c r="C510" s="8"/>
      <c r="D510" s="8"/>
      <c r="E510" s="8"/>
      <c r="F510" s="129"/>
      <c r="G510" s="8"/>
      <c r="L510" s="172"/>
    </row>
    <row r="511">
      <c r="B511" s="8"/>
      <c r="C511" s="8"/>
      <c r="D511" s="8"/>
      <c r="E511" s="8"/>
      <c r="F511" s="129"/>
      <c r="G511" s="8"/>
      <c r="L511" s="172"/>
    </row>
    <row r="512">
      <c r="B512" s="8"/>
      <c r="C512" s="8"/>
      <c r="D512" s="8"/>
      <c r="E512" s="8"/>
      <c r="F512" s="129"/>
      <c r="G512" s="8"/>
      <c r="L512" s="172"/>
    </row>
    <row r="513">
      <c r="B513" s="8"/>
      <c r="C513" s="8"/>
      <c r="D513" s="8"/>
      <c r="E513" s="8"/>
      <c r="F513" s="129"/>
      <c r="G513" s="8"/>
      <c r="L513" s="172"/>
    </row>
    <row r="514">
      <c r="B514" s="8"/>
      <c r="C514" s="8"/>
      <c r="D514" s="8"/>
      <c r="E514" s="8"/>
      <c r="F514" s="129"/>
      <c r="G514" s="8"/>
      <c r="L514" s="172"/>
    </row>
    <row r="515">
      <c r="B515" s="8"/>
      <c r="C515" s="8"/>
      <c r="D515" s="8"/>
      <c r="E515" s="8"/>
      <c r="F515" s="129"/>
      <c r="G515" s="8"/>
      <c r="L515" s="172"/>
    </row>
    <row r="516">
      <c r="B516" s="8"/>
      <c r="C516" s="8"/>
      <c r="D516" s="8"/>
      <c r="E516" s="8"/>
      <c r="F516" s="129"/>
      <c r="G516" s="8"/>
      <c r="L516" s="172"/>
    </row>
    <row r="517">
      <c r="B517" s="8"/>
      <c r="C517" s="8"/>
      <c r="D517" s="8"/>
      <c r="E517" s="8"/>
      <c r="F517" s="129"/>
      <c r="G517" s="8"/>
      <c r="L517" s="172"/>
    </row>
    <row r="518">
      <c r="B518" s="8"/>
      <c r="C518" s="8"/>
      <c r="D518" s="8"/>
      <c r="E518" s="8"/>
      <c r="F518" s="129"/>
      <c r="G518" s="8"/>
      <c r="L518" s="172"/>
    </row>
    <row r="519">
      <c r="B519" s="8"/>
      <c r="C519" s="8"/>
      <c r="D519" s="8"/>
      <c r="E519" s="8"/>
      <c r="F519" s="129"/>
      <c r="G519" s="8"/>
      <c r="L519" s="172"/>
    </row>
    <row r="520">
      <c r="B520" s="8"/>
      <c r="C520" s="8"/>
      <c r="D520" s="8"/>
      <c r="E520" s="8"/>
      <c r="F520" s="129"/>
      <c r="G520" s="8"/>
      <c r="L520" s="172"/>
    </row>
    <row r="521">
      <c r="B521" s="8"/>
      <c r="C521" s="8"/>
      <c r="D521" s="8"/>
      <c r="E521" s="8"/>
      <c r="F521" s="129"/>
      <c r="G521" s="8"/>
      <c r="L521" s="172"/>
    </row>
    <row r="522">
      <c r="B522" s="8"/>
      <c r="C522" s="8"/>
      <c r="D522" s="8"/>
      <c r="E522" s="8"/>
      <c r="F522" s="129"/>
      <c r="G522" s="8"/>
      <c r="L522" s="172"/>
    </row>
    <row r="523">
      <c r="B523" s="8"/>
      <c r="C523" s="8"/>
      <c r="D523" s="8"/>
      <c r="E523" s="8"/>
      <c r="F523" s="129"/>
      <c r="G523" s="8"/>
      <c r="L523" s="172"/>
    </row>
    <row r="524">
      <c r="B524" s="8"/>
      <c r="C524" s="8"/>
      <c r="D524" s="8"/>
      <c r="E524" s="8"/>
      <c r="F524" s="129"/>
      <c r="G524" s="8"/>
      <c r="L524" s="172"/>
    </row>
    <row r="525">
      <c r="B525" s="8"/>
      <c r="C525" s="8"/>
      <c r="D525" s="8"/>
      <c r="E525" s="8"/>
      <c r="F525" s="129"/>
      <c r="G525" s="8"/>
      <c r="L525" s="172"/>
    </row>
    <row r="526">
      <c r="B526" s="8"/>
      <c r="C526" s="8"/>
      <c r="D526" s="8"/>
      <c r="E526" s="8"/>
      <c r="F526" s="129"/>
      <c r="G526" s="8"/>
      <c r="L526" s="172"/>
    </row>
    <row r="527">
      <c r="B527" s="8"/>
      <c r="C527" s="8"/>
      <c r="D527" s="8"/>
      <c r="E527" s="8"/>
      <c r="F527" s="129"/>
      <c r="G527" s="8"/>
      <c r="L527" s="172"/>
    </row>
    <row r="528">
      <c r="B528" s="8"/>
      <c r="C528" s="8"/>
      <c r="D528" s="8"/>
      <c r="E528" s="8"/>
      <c r="F528" s="129"/>
      <c r="G528" s="8"/>
      <c r="L528" s="172"/>
    </row>
    <row r="529">
      <c r="B529" s="8"/>
      <c r="C529" s="8"/>
      <c r="D529" s="8"/>
      <c r="E529" s="8"/>
      <c r="F529" s="129"/>
      <c r="G529" s="8"/>
      <c r="L529" s="172"/>
    </row>
    <row r="530">
      <c r="B530" s="8"/>
      <c r="C530" s="8"/>
      <c r="D530" s="8"/>
      <c r="E530" s="8"/>
      <c r="F530" s="129"/>
      <c r="G530" s="8"/>
      <c r="L530" s="172"/>
    </row>
    <row r="531">
      <c r="B531" s="8"/>
      <c r="C531" s="8"/>
      <c r="D531" s="8"/>
      <c r="E531" s="8"/>
      <c r="F531" s="129"/>
      <c r="G531" s="8"/>
      <c r="L531" s="172"/>
    </row>
    <row r="532">
      <c r="B532" s="8"/>
      <c r="C532" s="8"/>
      <c r="D532" s="8"/>
      <c r="E532" s="8"/>
      <c r="F532" s="129"/>
      <c r="G532" s="8"/>
      <c r="L532" s="172"/>
    </row>
    <row r="533">
      <c r="B533" s="8"/>
      <c r="C533" s="8"/>
      <c r="D533" s="8"/>
      <c r="E533" s="8"/>
      <c r="F533" s="129"/>
      <c r="G533" s="8"/>
      <c r="L533" s="172"/>
    </row>
    <row r="534">
      <c r="B534" s="8"/>
      <c r="C534" s="8"/>
      <c r="D534" s="8"/>
      <c r="E534" s="8"/>
      <c r="F534" s="129"/>
      <c r="G534" s="8"/>
      <c r="L534" s="172"/>
    </row>
    <row r="535">
      <c r="B535" s="8"/>
      <c r="C535" s="8"/>
      <c r="D535" s="8"/>
      <c r="E535" s="8"/>
      <c r="F535" s="129"/>
      <c r="G535" s="8"/>
      <c r="L535" s="172"/>
    </row>
    <row r="536">
      <c r="B536" s="8"/>
      <c r="C536" s="8"/>
      <c r="D536" s="8"/>
      <c r="E536" s="8"/>
      <c r="F536" s="129"/>
      <c r="G536" s="8"/>
      <c r="L536" s="172"/>
    </row>
    <row r="537">
      <c r="B537" s="8"/>
      <c r="C537" s="8"/>
      <c r="D537" s="8"/>
      <c r="E537" s="8"/>
      <c r="F537" s="129"/>
      <c r="G537" s="8"/>
      <c r="L537" s="172"/>
    </row>
    <row r="538">
      <c r="B538" s="8"/>
      <c r="C538" s="8"/>
      <c r="D538" s="8"/>
      <c r="E538" s="8"/>
      <c r="F538" s="129"/>
      <c r="G538" s="8"/>
      <c r="L538" s="172"/>
    </row>
    <row r="539">
      <c r="B539" s="8"/>
      <c r="C539" s="8"/>
      <c r="D539" s="8"/>
      <c r="E539" s="8"/>
      <c r="F539" s="129"/>
      <c r="G539" s="8"/>
      <c r="L539" s="172"/>
    </row>
    <row r="540">
      <c r="B540" s="8"/>
      <c r="C540" s="8"/>
      <c r="D540" s="8"/>
      <c r="E540" s="8"/>
      <c r="F540" s="129"/>
      <c r="G540" s="8"/>
      <c r="L540" s="172"/>
    </row>
    <row r="541">
      <c r="B541" s="8"/>
      <c r="C541" s="8"/>
      <c r="D541" s="8"/>
      <c r="E541" s="8"/>
      <c r="F541" s="129"/>
      <c r="G541" s="8"/>
      <c r="L541" s="172"/>
    </row>
    <row r="542">
      <c r="B542" s="8"/>
      <c r="C542" s="8"/>
      <c r="D542" s="8"/>
      <c r="E542" s="8"/>
      <c r="F542" s="129"/>
      <c r="G542" s="8"/>
      <c r="L542" s="172"/>
    </row>
    <row r="543">
      <c r="B543" s="8"/>
      <c r="C543" s="8"/>
      <c r="D543" s="8"/>
      <c r="E543" s="8"/>
      <c r="F543" s="129"/>
      <c r="G543" s="8"/>
      <c r="L543" s="172"/>
    </row>
    <row r="544">
      <c r="B544" s="8"/>
      <c r="C544" s="8"/>
      <c r="D544" s="8"/>
      <c r="E544" s="8"/>
      <c r="F544" s="129"/>
      <c r="G544" s="8"/>
      <c r="L544" s="172"/>
    </row>
    <row r="545">
      <c r="B545" s="8"/>
      <c r="C545" s="8"/>
      <c r="D545" s="8"/>
      <c r="E545" s="8"/>
      <c r="F545" s="129"/>
      <c r="G545" s="8"/>
      <c r="L545" s="172"/>
    </row>
    <row r="546">
      <c r="B546" s="8"/>
      <c r="C546" s="8"/>
      <c r="D546" s="8"/>
      <c r="E546" s="8"/>
      <c r="F546" s="129"/>
      <c r="G546" s="8"/>
      <c r="L546" s="172"/>
    </row>
    <row r="547">
      <c r="B547" s="8"/>
      <c r="C547" s="8"/>
      <c r="D547" s="8"/>
      <c r="E547" s="8"/>
      <c r="F547" s="129"/>
      <c r="G547" s="8"/>
      <c r="L547" s="172"/>
    </row>
    <row r="548">
      <c r="B548" s="8"/>
      <c r="C548" s="8"/>
      <c r="D548" s="8"/>
      <c r="E548" s="8"/>
      <c r="F548" s="129"/>
      <c r="G548" s="8"/>
      <c r="L548" s="172"/>
    </row>
    <row r="549">
      <c r="B549" s="8"/>
      <c r="C549" s="8"/>
      <c r="D549" s="8"/>
      <c r="E549" s="8"/>
      <c r="F549" s="129"/>
      <c r="G549" s="8"/>
      <c r="L549" s="172"/>
    </row>
    <row r="550">
      <c r="B550" s="8"/>
      <c r="C550" s="8"/>
      <c r="D550" s="8"/>
      <c r="E550" s="8"/>
      <c r="F550" s="129"/>
      <c r="G550" s="8"/>
      <c r="L550" s="172"/>
    </row>
    <row r="551">
      <c r="B551" s="8"/>
      <c r="C551" s="8"/>
      <c r="D551" s="8"/>
      <c r="E551" s="8"/>
      <c r="F551" s="129"/>
      <c r="G551" s="8"/>
      <c r="L551" s="172"/>
    </row>
    <row r="552">
      <c r="B552" s="8"/>
      <c r="C552" s="8"/>
      <c r="D552" s="8"/>
      <c r="E552" s="8"/>
      <c r="F552" s="129"/>
      <c r="G552" s="8"/>
      <c r="L552" s="172"/>
    </row>
    <row r="553">
      <c r="B553" s="8"/>
      <c r="C553" s="8"/>
      <c r="D553" s="8"/>
      <c r="E553" s="8"/>
      <c r="F553" s="129"/>
      <c r="G553" s="8"/>
      <c r="L553" s="172"/>
    </row>
    <row r="554">
      <c r="B554" s="8"/>
      <c r="C554" s="8"/>
      <c r="D554" s="8"/>
      <c r="E554" s="8"/>
      <c r="F554" s="129"/>
      <c r="G554" s="8"/>
      <c r="L554" s="172"/>
    </row>
    <row r="555">
      <c r="B555" s="8"/>
      <c r="C555" s="8"/>
      <c r="D555" s="8"/>
      <c r="E555" s="8"/>
      <c r="F555" s="129"/>
      <c r="G555" s="8"/>
      <c r="L555" s="172"/>
    </row>
    <row r="556">
      <c r="B556" s="8"/>
      <c r="C556" s="8"/>
      <c r="D556" s="8"/>
      <c r="E556" s="8"/>
      <c r="F556" s="129"/>
      <c r="G556" s="8"/>
      <c r="L556" s="172"/>
    </row>
    <row r="557">
      <c r="B557" s="8"/>
      <c r="C557" s="8"/>
      <c r="D557" s="8"/>
      <c r="E557" s="8"/>
      <c r="F557" s="129"/>
      <c r="G557" s="8"/>
      <c r="L557" s="172"/>
    </row>
    <row r="558">
      <c r="B558" s="8"/>
      <c r="C558" s="8"/>
      <c r="D558" s="8"/>
      <c r="E558" s="8"/>
      <c r="F558" s="129"/>
      <c r="G558" s="8"/>
      <c r="L558" s="172"/>
    </row>
    <row r="559">
      <c r="B559" s="8"/>
      <c r="C559" s="8"/>
      <c r="D559" s="8"/>
      <c r="E559" s="8"/>
      <c r="F559" s="129"/>
      <c r="G559" s="8"/>
      <c r="L559" s="172"/>
    </row>
    <row r="560">
      <c r="B560" s="8"/>
      <c r="C560" s="8"/>
      <c r="D560" s="8"/>
      <c r="E560" s="8"/>
      <c r="F560" s="129"/>
      <c r="G560" s="8"/>
      <c r="L560" s="172"/>
    </row>
    <row r="561">
      <c r="B561" s="8"/>
      <c r="C561" s="8"/>
      <c r="D561" s="8"/>
      <c r="E561" s="8"/>
      <c r="F561" s="129"/>
      <c r="G561" s="8"/>
      <c r="L561" s="172"/>
    </row>
    <row r="562">
      <c r="B562" s="8"/>
      <c r="C562" s="8"/>
      <c r="D562" s="8"/>
      <c r="E562" s="8"/>
      <c r="F562" s="129"/>
      <c r="G562" s="8"/>
      <c r="L562" s="172"/>
    </row>
    <row r="563">
      <c r="B563" s="8"/>
      <c r="C563" s="8"/>
      <c r="D563" s="8"/>
      <c r="E563" s="8"/>
      <c r="F563" s="129"/>
      <c r="G563" s="8"/>
      <c r="L563" s="172"/>
    </row>
    <row r="564">
      <c r="B564" s="8"/>
      <c r="C564" s="8"/>
      <c r="D564" s="8"/>
      <c r="E564" s="8"/>
      <c r="F564" s="129"/>
      <c r="G564" s="8"/>
      <c r="L564" s="172"/>
    </row>
    <row r="565">
      <c r="B565" s="8"/>
      <c r="C565" s="8"/>
      <c r="D565" s="8"/>
      <c r="E565" s="8"/>
      <c r="F565" s="129"/>
      <c r="G565" s="8"/>
      <c r="L565" s="172"/>
    </row>
    <row r="566">
      <c r="B566" s="8"/>
      <c r="C566" s="8"/>
      <c r="D566" s="8"/>
      <c r="E566" s="8"/>
      <c r="F566" s="129"/>
      <c r="G566" s="8"/>
      <c r="L566" s="172"/>
    </row>
    <row r="567">
      <c r="B567" s="8"/>
      <c r="C567" s="8"/>
      <c r="D567" s="8"/>
      <c r="E567" s="8"/>
      <c r="F567" s="129"/>
      <c r="G567" s="8"/>
      <c r="L567" s="172"/>
    </row>
    <row r="568">
      <c r="B568" s="8"/>
      <c r="C568" s="8"/>
      <c r="D568" s="8"/>
      <c r="E568" s="8"/>
      <c r="F568" s="129"/>
      <c r="G568" s="8"/>
      <c r="L568" s="172"/>
    </row>
    <row r="569">
      <c r="B569" s="8"/>
      <c r="C569" s="8"/>
      <c r="D569" s="8"/>
      <c r="E569" s="8"/>
      <c r="F569" s="129"/>
      <c r="G569" s="8"/>
      <c r="L569" s="172"/>
    </row>
    <row r="570">
      <c r="B570" s="8"/>
      <c r="C570" s="8"/>
      <c r="D570" s="8"/>
      <c r="E570" s="8"/>
      <c r="F570" s="129"/>
      <c r="G570" s="8"/>
      <c r="L570" s="172"/>
    </row>
    <row r="571">
      <c r="B571" s="8"/>
      <c r="C571" s="8"/>
      <c r="D571" s="8"/>
      <c r="E571" s="8"/>
      <c r="F571" s="129"/>
      <c r="G571" s="8"/>
      <c r="L571" s="172"/>
    </row>
    <row r="572">
      <c r="B572" s="8"/>
      <c r="C572" s="8"/>
      <c r="D572" s="8"/>
      <c r="E572" s="8"/>
      <c r="F572" s="129"/>
      <c r="G572" s="8"/>
      <c r="L572" s="172"/>
    </row>
    <row r="573">
      <c r="B573" s="8"/>
      <c r="C573" s="8"/>
      <c r="D573" s="8"/>
      <c r="E573" s="8"/>
      <c r="F573" s="129"/>
      <c r="G573" s="8"/>
      <c r="L573" s="172"/>
    </row>
    <row r="574">
      <c r="B574" s="8"/>
      <c r="C574" s="8"/>
      <c r="D574" s="8"/>
      <c r="E574" s="8"/>
      <c r="F574" s="129"/>
      <c r="G574" s="8"/>
      <c r="L574" s="172"/>
    </row>
    <row r="575">
      <c r="B575" s="8"/>
      <c r="C575" s="8"/>
      <c r="D575" s="8"/>
      <c r="E575" s="8"/>
      <c r="F575" s="129"/>
      <c r="G575" s="8"/>
      <c r="L575" s="172"/>
    </row>
    <row r="576">
      <c r="B576" s="8"/>
      <c r="C576" s="8"/>
      <c r="D576" s="8"/>
      <c r="E576" s="8"/>
      <c r="F576" s="129"/>
      <c r="G576" s="8"/>
      <c r="L576" s="172"/>
    </row>
    <row r="577">
      <c r="B577" s="8"/>
      <c r="C577" s="8"/>
      <c r="D577" s="8"/>
      <c r="E577" s="8"/>
      <c r="F577" s="129"/>
      <c r="G577" s="8"/>
      <c r="L577" s="172"/>
    </row>
    <row r="578">
      <c r="B578" s="8"/>
      <c r="C578" s="8"/>
      <c r="D578" s="8"/>
      <c r="E578" s="8"/>
      <c r="F578" s="129"/>
      <c r="G578" s="8"/>
      <c r="L578" s="172"/>
    </row>
    <row r="579">
      <c r="B579" s="8"/>
      <c r="C579" s="8"/>
      <c r="D579" s="8"/>
      <c r="E579" s="8"/>
      <c r="F579" s="129"/>
      <c r="G579" s="8"/>
      <c r="L579" s="172"/>
    </row>
    <row r="580">
      <c r="B580" s="8"/>
      <c r="C580" s="8"/>
      <c r="D580" s="8"/>
      <c r="E580" s="8"/>
      <c r="F580" s="129"/>
      <c r="G580" s="8"/>
      <c r="L580" s="172"/>
    </row>
    <row r="581">
      <c r="B581" s="8"/>
      <c r="C581" s="8"/>
      <c r="D581" s="8"/>
      <c r="E581" s="8"/>
      <c r="F581" s="129"/>
      <c r="G581" s="8"/>
      <c r="L581" s="172"/>
    </row>
    <row r="582">
      <c r="B582" s="8"/>
      <c r="C582" s="8"/>
      <c r="D582" s="8"/>
      <c r="E582" s="8"/>
      <c r="F582" s="129"/>
      <c r="G582" s="8"/>
      <c r="L582" s="172"/>
    </row>
    <row r="583">
      <c r="B583" s="8"/>
      <c r="C583" s="8"/>
      <c r="D583" s="8"/>
      <c r="E583" s="8"/>
      <c r="F583" s="129"/>
      <c r="G583" s="8"/>
      <c r="L583" s="172"/>
    </row>
    <row r="584">
      <c r="B584" s="8"/>
      <c r="C584" s="8"/>
      <c r="D584" s="8"/>
      <c r="E584" s="8"/>
      <c r="F584" s="129"/>
      <c r="G584" s="8"/>
      <c r="L584" s="172"/>
    </row>
    <row r="585">
      <c r="B585" s="8"/>
      <c r="C585" s="8"/>
      <c r="D585" s="8"/>
      <c r="E585" s="8"/>
      <c r="F585" s="129"/>
      <c r="G585" s="8"/>
      <c r="L585" s="172"/>
    </row>
    <row r="586">
      <c r="B586" s="8"/>
      <c r="C586" s="8"/>
      <c r="D586" s="8"/>
      <c r="E586" s="8"/>
      <c r="F586" s="129"/>
      <c r="G586" s="8"/>
      <c r="L586" s="172"/>
    </row>
    <row r="587">
      <c r="B587" s="8"/>
      <c r="C587" s="8"/>
      <c r="D587" s="8"/>
      <c r="E587" s="8"/>
      <c r="F587" s="129"/>
      <c r="G587" s="8"/>
      <c r="L587" s="172"/>
    </row>
    <row r="588">
      <c r="B588" s="8"/>
      <c r="C588" s="8"/>
      <c r="D588" s="8"/>
      <c r="E588" s="8"/>
      <c r="F588" s="129"/>
      <c r="G588" s="8"/>
      <c r="L588" s="172"/>
    </row>
    <row r="589">
      <c r="B589" s="8"/>
      <c r="C589" s="8"/>
      <c r="D589" s="8"/>
      <c r="E589" s="8"/>
      <c r="F589" s="129"/>
      <c r="G589" s="8"/>
      <c r="L589" s="172"/>
    </row>
    <row r="590">
      <c r="B590" s="8"/>
      <c r="C590" s="8"/>
      <c r="D590" s="8"/>
      <c r="E590" s="8"/>
      <c r="F590" s="129"/>
      <c r="G590" s="8"/>
      <c r="L590" s="172"/>
    </row>
    <row r="591">
      <c r="B591" s="8"/>
      <c r="C591" s="8"/>
      <c r="D591" s="8"/>
      <c r="E591" s="8"/>
      <c r="F591" s="129"/>
      <c r="G591" s="8"/>
      <c r="L591" s="172"/>
    </row>
    <row r="592">
      <c r="B592" s="8"/>
      <c r="C592" s="8"/>
      <c r="D592" s="8"/>
      <c r="E592" s="8"/>
      <c r="F592" s="129"/>
      <c r="G592" s="8"/>
      <c r="L592" s="172"/>
    </row>
    <row r="593">
      <c r="B593" s="8"/>
      <c r="C593" s="8"/>
      <c r="D593" s="8"/>
      <c r="E593" s="8"/>
      <c r="F593" s="129"/>
      <c r="G593" s="8"/>
      <c r="L593" s="172"/>
    </row>
    <row r="594">
      <c r="B594" s="8"/>
      <c r="C594" s="8"/>
      <c r="D594" s="8"/>
      <c r="E594" s="8"/>
      <c r="F594" s="129"/>
      <c r="G594" s="8"/>
      <c r="L594" s="172"/>
    </row>
    <row r="595">
      <c r="B595" s="8"/>
      <c r="C595" s="8"/>
      <c r="D595" s="8"/>
      <c r="E595" s="8"/>
      <c r="F595" s="129"/>
      <c r="G595" s="8"/>
      <c r="L595" s="172"/>
    </row>
    <row r="596">
      <c r="B596" s="8"/>
      <c r="C596" s="8"/>
      <c r="D596" s="8"/>
      <c r="E596" s="8"/>
      <c r="F596" s="129"/>
      <c r="G596" s="8"/>
      <c r="L596" s="172"/>
    </row>
    <row r="597">
      <c r="B597" s="8"/>
      <c r="C597" s="8"/>
      <c r="D597" s="8"/>
      <c r="E597" s="8"/>
      <c r="F597" s="129"/>
      <c r="G597" s="8"/>
      <c r="L597" s="172"/>
    </row>
    <row r="598">
      <c r="B598" s="8"/>
      <c r="C598" s="8"/>
      <c r="D598" s="8"/>
      <c r="E598" s="8"/>
      <c r="F598" s="129"/>
      <c r="G598" s="8"/>
      <c r="L598" s="172"/>
    </row>
    <row r="599">
      <c r="B599" s="8"/>
      <c r="C599" s="8"/>
      <c r="D599" s="8"/>
      <c r="E599" s="8"/>
      <c r="F599" s="129"/>
      <c r="G599" s="8"/>
      <c r="L599" s="172"/>
    </row>
    <row r="600">
      <c r="B600" s="8"/>
      <c r="C600" s="8"/>
      <c r="D600" s="8"/>
      <c r="E600" s="8"/>
      <c r="F600" s="129"/>
      <c r="G600" s="8"/>
      <c r="L600" s="172"/>
    </row>
    <row r="601">
      <c r="B601" s="8"/>
      <c r="C601" s="8"/>
      <c r="D601" s="8"/>
      <c r="E601" s="8"/>
      <c r="F601" s="129"/>
      <c r="G601" s="8"/>
      <c r="L601" s="172"/>
    </row>
    <row r="602">
      <c r="B602" s="8"/>
      <c r="C602" s="8"/>
      <c r="D602" s="8"/>
      <c r="E602" s="8"/>
      <c r="F602" s="129"/>
      <c r="G602" s="8"/>
      <c r="L602" s="172"/>
    </row>
    <row r="603">
      <c r="B603" s="8"/>
      <c r="C603" s="8"/>
      <c r="D603" s="8"/>
      <c r="E603" s="8"/>
      <c r="F603" s="129"/>
      <c r="G603" s="8"/>
      <c r="L603" s="172"/>
    </row>
    <row r="604">
      <c r="B604" s="8"/>
      <c r="C604" s="8"/>
      <c r="D604" s="8"/>
      <c r="E604" s="8"/>
      <c r="F604" s="129"/>
      <c r="G604" s="8"/>
      <c r="L604" s="172"/>
    </row>
    <row r="605">
      <c r="B605" s="8"/>
      <c r="C605" s="8"/>
      <c r="D605" s="8"/>
      <c r="E605" s="8"/>
      <c r="F605" s="129"/>
      <c r="G605" s="8"/>
      <c r="L605" s="172"/>
    </row>
    <row r="606">
      <c r="B606" s="8"/>
      <c r="C606" s="8"/>
      <c r="D606" s="8"/>
      <c r="E606" s="8"/>
      <c r="F606" s="129"/>
      <c r="G606" s="8"/>
      <c r="L606" s="172"/>
    </row>
    <row r="607">
      <c r="B607" s="8"/>
      <c r="C607" s="8"/>
      <c r="D607" s="8"/>
      <c r="E607" s="8"/>
      <c r="F607" s="129"/>
      <c r="G607" s="8"/>
      <c r="L607" s="172"/>
    </row>
    <row r="608">
      <c r="B608" s="8"/>
      <c r="C608" s="8"/>
      <c r="D608" s="8"/>
      <c r="E608" s="8"/>
      <c r="F608" s="129"/>
      <c r="G608" s="8"/>
      <c r="L608" s="172"/>
    </row>
    <row r="609">
      <c r="B609" s="8"/>
      <c r="C609" s="8"/>
      <c r="D609" s="8"/>
      <c r="E609" s="8"/>
      <c r="F609" s="129"/>
      <c r="G609" s="8"/>
      <c r="L609" s="172"/>
    </row>
    <row r="610">
      <c r="B610" s="8"/>
      <c r="C610" s="8"/>
      <c r="D610" s="8"/>
      <c r="E610" s="8"/>
      <c r="F610" s="129"/>
      <c r="G610" s="8"/>
      <c r="L610" s="172"/>
    </row>
    <row r="611">
      <c r="B611" s="8"/>
      <c r="C611" s="8"/>
      <c r="D611" s="8"/>
      <c r="E611" s="8"/>
      <c r="F611" s="129"/>
      <c r="G611" s="8"/>
      <c r="L611" s="172"/>
    </row>
    <row r="612">
      <c r="B612" s="8"/>
      <c r="C612" s="8"/>
      <c r="D612" s="8"/>
      <c r="E612" s="8"/>
      <c r="F612" s="129"/>
      <c r="G612" s="8"/>
      <c r="L612" s="172"/>
    </row>
    <row r="613">
      <c r="B613" s="8"/>
      <c r="C613" s="8"/>
      <c r="D613" s="8"/>
      <c r="E613" s="8"/>
      <c r="F613" s="129"/>
      <c r="G613" s="8"/>
      <c r="L613" s="172"/>
    </row>
    <row r="614">
      <c r="B614" s="8"/>
      <c r="C614" s="8"/>
      <c r="D614" s="8"/>
      <c r="E614" s="8"/>
      <c r="F614" s="129"/>
      <c r="G614" s="8"/>
      <c r="L614" s="172"/>
    </row>
    <row r="615">
      <c r="B615" s="8"/>
      <c r="C615" s="8"/>
      <c r="D615" s="8"/>
      <c r="E615" s="8"/>
      <c r="F615" s="129"/>
      <c r="G615" s="8"/>
      <c r="L615" s="172"/>
    </row>
    <row r="616">
      <c r="B616" s="8"/>
      <c r="C616" s="8"/>
      <c r="D616" s="8"/>
      <c r="E616" s="8"/>
      <c r="F616" s="129"/>
      <c r="G616" s="8"/>
      <c r="L616" s="172"/>
    </row>
    <row r="617">
      <c r="B617" s="8"/>
      <c r="C617" s="8"/>
      <c r="D617" s="8"/>
      <c r="E617" s="8"/>
      <c r="F617" s="129"/>
      <c r="G617" s="8"/>
      <c r="L617" s="172"/>
    </row>
    <row r="618">
      <c r="B618" s="8"/>
      <c r="C618" s="8"/>
      <c r="D618" s="8"/>
      <c r="E618" s="8"/>
      <c r="F618" s="129"/>
      <c r="G618" s="8"/>
      <c r="L618" s="172"/>
    </row>
    <row r="619">
      <c r="B619" s="8"/>
      <c r="C619" s="8"/>
      <c r="D619" s="8"/>
      <c r="E619" s="8"/>
      <c r="F619" s="129"/>
      <c r="G619" s="8"/>
      <c r="L619" s="172"/>
    </row>
    <row r="620">
      <c r="B620" s="8"/>
      <c r="C620" s="8"/>
      <c r="D620" s="8"/>
      <c r="E620" s="8"/>
      <c r="F620" s="129"/>
      <c r="G620" s="8"/>
      <c r="L620" s="172"/>
    </row>
    <row r="621">
      <c r="B621" s="8"/>
      <c r="C621" s="8"/>
      <c r="D621" s="8"/>
      <c r="E621" s="8"/>
      <c r="F621" s="129"/>
      <c r="G621" s="8"/>
      <c r="L621" s="172"/>
    </row>
    <row r="622">
      <c r="B622" s="8"/>
      <c r="C622" s="8"/>
      <c r="D622" s="8"/>
      <c r="E622" s="8"/>
      <c r="F622" s="129"/>
      <c r="G622" s="8"/>
      <c r="L622" s="172"/>
    </row>
    <row r="623">
      <c r="B623" s="8"/>
      <c r="C623" s="8"/>
      <c r="D623" s="8"/>
      <c r="E623" s="8"/>
      <c r="F623" s="129"/>
      <c r="G623" s="8"/>
      <c r="L623" s="172"/>
    </row>
    <row r="624">
      <c r="B624" s="8"/>
      <c r="C624" s="8"/>
      <c r="D624" s="8"/>
      <c r="E624" s="8"/>
      <c r="F624" s="129"/>
      <c r="G624" s="8"/>
      <c r="L624" s="172"/>
    </row>
    <row r="625">
      <c r="B625" s="8"/>
      <c r="C625" s="8"/>
      <c r="D625" s="8"/>
      <c r="E625" s="8"/>
      <c r="F625" s="129"/>
      <c r="G625" s="8"/>
      <c r="L625" s="172"/>
    </row>
    <row r="626">
      <c r="B626" s="8"/>
      <c r="C626" s="8"/>
      <c r="D626" s="8"/>
      <c r="E626" s="8"/>
      <c r="F626" s="129"/>
      <c r="G626" s="8"/>
      <c r="L626" s="172"/>
    </row>
    <row r="627">
      <c r="B627" s="8"/>
      <c r="C627" s="8"/>
      <c r="D627" s="8"/>
      <c r="E627" s="8"/>
      <c r="F627" s="129"/>
      <c r="G627" s="8"/>
      <c r="L627" s="172"/>
    </row>
    <row r="628">
      <c r="B628" s="8"/>
      <c r="C628" s="8"/>
      <c r="D628" s="8"/>
      <c r="E628" s="8"/>
      <c r="F628" s="129"/>
      <c r="G628" s="8"/>
      <c r="L628" s="172"/>
    </row>
    <row r="629">
      <c r="B629" s="8"/>
      <c r="C629" s="8"/>
      <c r="D629" s="8"/>
      <c r="E629" s="8"/>
      <c r="F629" s="129"/>
      <c r="G629" s="8"/>
      <c r="L629" s="172"/>
    </row>
    <row r="630">
      <c r="B630" s="8"/>
      <c r="C630" s="8"/>
      <c r="D630" s="8"/>
      <c r="E630" s="8"/>
      <c r="F630" s="129"/>
      <c r="G630" s="8"/>
      <c r="L630" s="172"/>
    </row>
    <row r="631">
      <c r="B631" s="8"/>
      <c r="C631" s="8"/>
      <c r="D631" s="8"/>
      <c r="E631" s="8"/>
      <c r="F631" s="129"/>
      <c r="G631" s="8"/>
      <c r="L631" s="172"/>
    </row>
    <row r="632">
      <c r="B632" s="8"/>
      <c r="C632" s="8"/>
      <c r="D632" s="8"/>
      <c r="E632" s="8"/>
      <c r="F632" s="129"/>
      <c r="G632" s="8"/>
      <c r="L632" s="172"/>
    </row>
    <row r="633">
      <c r="B633" s="8"/>
      <c r="C633" s="8"/>
      <c r="D633" s="8"/>
      <c r="E633" s="8"/>
      <c r="F633" s="129"/>
      <c r="G633" s="8"/>
      <c r="L633" s="172"/>
    </row>
    <row r="634">
      <c r="B634" s="8"/>
      <c r="C634" s="8"/>
      <c r="D634" s="8"/>
      <c r="E634" s="8"/>
      <c r="F634" s="129"/>
      <c r="G634" s="8"/>
      <c r="L634" s="172"/>
    </row>
    <row r="635">
      <c r="B635" s="8"/>
      <c r="C635" s="8"/>
      <c r="D635" s="8"/>
      <c r="E635" s="8"/>
      <c r="F635" s="129"/>
      <c r="G635" s="8"/>
      <c r="L635" s="172"/>
    </row>
    <row r="636">
      <c r="B636" s="8"/>
      <c r="C636" s="8"/>
      <c r="D636" s="8"/>
      <c r="E636" s="8"/>
      <c r="F636" s="129"/>
      <c r="G636" s="8"/>
      <c r="L636" s="172"/>
    </row>
    <row r="637">
      <c r="B637" s="8"/>
      <c r="C637" s="8"/>
      <c r="D637" s="8"/>
      <c r="E637" s="8"/>
      <c r="F637" s="129"/>
      <c r="G637" s="8"/>
      <c r="L637" s="172"/>
    </row>
    <row r="638">
      <c r="B638" s="8"/>
      <c r="C638" s="8"/>
      <c r="D638" s="8"/>
      <c r="E638" s="8"/>
      <c r="F638" s="129"/>
      <c r="G638" s="8"/>
      <c r="L638" s="172"/>
    </row>
    <row r="639">
      <c r="B639" s="8"/>
      <c r="C639" s="8"/>
      <c r="D639" s="8"/>
      <c r="E639" s="8"/>
      <c r="F639" s="129"/>
      <c r="G639" s="8"/>
      <c r="L639" s="172"/>
    </row>
    <row r="640">
      <c r="B640" s="8"/>
      <c r="C640" s="8"/>
      <c r="D640" s="8"/>
      <c r="E640" s="8"/>
      <c r="F640" s="129"/>
      <c r="G640" s="8"/>
      <c r="L640" s="172"/>
    </row>
    <row r="641">
      <c r="B641" s="8"/>
      <c r="C641" s="8"/>
      <c r="D641" s="8"/>
      <c r="E641" s="8"/>
      <c r="F641" s="129"/>
      <c r="G641" s="8"/>
      <c r="L641" s="172"/>
    </row>
    <row r="642">
      <c r="B642" s="8"/>
      <c r="C642" s="8"/>
      <c r="D642" s="8"/>
      <c r="E642" s="8"/>
      <c r="F642" s="129"/>
      <c r="G642" s="8"/>
      <c r="L642" s="172"/>
    </row>
    <row r="643">
      <c r="B643" s="8"/>
      <c r="C643" s="8"/>
      <c r="D643" s="8"/>
      <c r="E643" s="8"/>
      <c r="F643" s="129"/>
      <c r="G643" s="8"/>
      <c r="L643" s="172"/>
    </row>
    <row r="644">
      <c r="B644" s="8"/>
      <c r="C644" s="8"/>
      <c r="D644" s="8"/>
      <c r="E644" s="8"/>
      <c r="F644" s="129"/>
      <c r="G644" s="8"/>
      <c r="L644" s="172"/>
    </row>
    <row r="645">
      <c r="B645" s="8"/>
      <c r="C645" s="8"/>
      <c r="D645" s="8"/>
      <c r="E645" s="8"/>
      <c r="F645" s="129"/>
      <c r="G645" s="8"/>
      <c r="L645" s="172"/>
    </row>
    <row r="646">
      <c r="B646" s="8"/>
      <c r="C646" s="8"/>
      <c r="D646" s="8"/>
      <c r="E646" s="8"/>
      <c r="F646" s="129"/>
      <c r="G646" s="8"/>
      <c r="L646" s="172"/>
    </row>
    <row r="647">
      <c r="B647" s="8"/>
      <c r="C647" s="8"/>
      <c r="D647" s="8"/>
      <c r="E647" s="8"/>
      <c r="F647" s="129"/>
      <c r="G647" s="8"/>
      <c r="L647" s="172"/>
    </row>
    <row r="648">
      <c r="B648" s="8"/>
      <c r="C648" s="8"/>
      <c r="D648" s="8"/>
      <c r="E648" s="8"/>
      <c r="F648" s="129"/>
      <c r="G648" s="8"/>
      <c r="L648" s="172"/>
    </row>
    <row r="649">
      <c r="B649" s="8"/>
      <c r="C649" s="8"/>
      <c r="D649" s="8"/>
      <c r="E649" s="8"/>
      <c r="F649" s="129"/>
      <c r="G649" s="8"/>
      <c r="L649" s="172"/>
    </row>
    <row r="650">
      <c r="B650" s="8"/>
      <c r="C650" s="8"/>
      <c r="D650" s="8"/>
      <c r="E650" s="8"/>
      <c r="F650" s="129"/>
      <c r="G650" s="8"/>
      <c r="L650" s="172"/>
    </row>
    <row r="651">
      <c r="B651" s="8"/>
      <c r="C651" s="8"/>
      <c r="D651" s="8"/>
      <c r="E651" s="8"/>
      <c r="F651" s="129"/>
      <c r="G651" s="8"/>
      <c r="L651" s="172"/>
    </row>
    <row r="652">
      <c r="B652" s="8"/>
      <c r="C652" s="8"/>
      <c r="D652" s="8"/>
      <c r="E652" s="8"/>
      <c r="F652" s="129"/>
      <c r="G652" s="8"/>
      <c r="L652" s="172"/>
    </row>
    <row r="653">
      <c r="B653" s="8"/>
      <c r="C653" s="8"/>
      <c r="D653" s="8"/>
      <c r="E653" s="8"/>
      <c r="F653" s="129"/>
      <c r="G653" s="8"/>
      <c r="L653" s="172"/>
    </row>
    <row r="654">
      <c r="B654" s="8"/>
      <c r="C654" s="8"/>
      <c r="D654" s="8"/>
      <c r="E654" s="8"/>
      <c r="F654" s="129"/>
      <c r="G654" s="8"/>
      <c r="L654" s="172"/>
    </row>
    <row r="655">
      <c r="B655" s="8"/>
      <c r="C655" s="8"/>
      <c r="D655" s="8"/>
      <c r="E655" s="8"/>
      <c r="F655" s="129"/>
      <c r="G655" s="8"/>
      <c r="L655" s="172"/>
    </row>
    <row r="656">
      <c r="B656" s="8"/>
      <c r="C656" s="8"/>
      <c r="D656" s="8"/>
      <c r="E656" s="8"/>
      <c r="F656" s="129"/>
      <c r="G656" s="8"/>
      <c r="L656" s="172"/>
    </row>
    <row r="657">
      <c r="B657" s="8"/>
      <c r="C657" s="8"/>
      <c r="D657" s="8"/>
      <c r="E657" s="8"/>
      <c r="F657" s="129"/>
      <c r="G657" s="8"/>
      <c r="L657" s="172"/>
    </row>
    <row r="658">
      <c r="B658" s="8"/>
      <c r="C658" s="8"/>
      <c r="D658" s="8"/>
      <c r="E658" s="8"/>
      <c r="F658" s="129"/>
      <c r="G658" s="8"/>
      <c r="L658" s="172"/>
    </row>
    <row r="659">
      <c r="B659" s="8"/>
      <c r="C659" s="8"/>
      <c r="D659" s="8"/>
      <c r="E659" s="8"/>
      <c r="F659" s="129"/>
      <c r="G659" s="8"/>
      <c r="L659" s="172"/>
    </row>
    <row r="660">
      <c r="B660" s="8"/>
      <c r="C660" s="8"/>
      <c r="D660" s="8"/>
      <c r="E660" s="8"/>
      <c r="F660" s="129"/>
      <c r="G660" s="8"/>
      <c r="L660" s="172"/>
    </row>
    <row r="661">
      <c r="B661" s="8"/>
      <c r="C661" s="8"/>
      <c r="D661" s="8"/>
      <c r="E661" s="8"/>
      <c r="F661" s="129"/>
      <c r="G661" s="8"/>
      <c r="L661" s="172"/>
    </row>
    <row r="662">
      <c r="B662" s="8"/>
      <c r="C662" s="8"/>
      <c r="D662" s="8"/>
      <c r="E662" s="8"/>
      <c r="F662" s="129"/>
      <c r="G662" s="8"/>
      <c r="L662" s="172"/>
    </row>
    <row r="663">
      <c r="B663" s="8"/>
      <c r="C663" s="8"/>
      <c r="D663" s="8"/>
      <c r="E663" s="8"/>
      <c r="F663" s="129"/>
      <c r="G663" s="8"/>
      <c r="L663" s="172"/>
    </row>
    <row r="664">
      <c r="B664" s="8"/>
      <c r="C664" s="8"/>
      <c r="D664" s="8"/>
      <c r="E664" s="8"/>
      <c r="F664" s="129"/>
      <c r="G664" s="8"/>
      <c r="L664" s="172"/>
    </row>
    <row r="665">
      <c r="B665" s="8"/>
      <c r="C665" s="8"/>
      <c r="D665" s="8"/>
      <c r="E665" s="8"/>
      <c r="F665" s="129"/>
      <c r="G665" s="8"/>
      <c r="L665" s="172"/>
    </row>
    <row r="666">
      <c r="B666" s="8"/>
      <c r="C666" s="8"/>
      <c r="D666" s="8"/>
      <c r="E666" s="8"/>
      <c r="F666" s="129"/>
      <c r="G666" s="8"/>
      <c r="L666" s="172"/>
    </row>
    <row r="667">
      <c r="B667" s="8"/>
      <c r="C667" s="8"/>
      <c r="D667" s="8"/>
      <c r="E667" s="8"/>
      <c r="F667" s="129"/>
      <c r="G667" s="8"/>
      <c r="L667" s="172"/>
    </row>
    <row r="668">
      <c r="B668" s="8"/>
      <c r="C668" s="8"/>
      <c r="D668" s="8"/>
      <c r="E668" s="8"/>
      <c r="F668" s="129"/>
      <c r="G668" s="8"/>
      <c r="L668" s="172"/>
    </row>
    <row r="669">
      <c r="B669" s="8"/>
      <c r="C669" s="8"/>
      <c r="D669" s="8"/>
      <c r="E669" s="8"/>
      <c r="F669" s="129"/>
      <c r="G669" s="8"/>
      <c r="L669" s="172"/>
    </row>
    <row r="670">
      <c r="B670" s="8"/>
      <c r="C670" s="8"/>
      <c r="D670" s="8"/>
      <c r="E670" s="8"/>
      <c r="F670" s="129"/>
      <c r="G670" s="8"/>
      <c r="L670" s="172"/>
    </row>
    <row r="671">
      <c r="B671" s="8"/>
      <c r="C671" s="8"/>
      <c r="D671" s="8"/>
      <c r="E671" s="8"/>
      <c r="F671" s="129"/>
      <c r="G671" s="8"/>
      <c r="L671" s="172"/>
    </row>
    <row r="672">
      <c r="B672" s="8"/>
      <c r="C672" s="8"/>
      <c r="D672" s="8"/>
      <c r="E672" s="8"/>
      <c r="F672" s="129"/>
      <c r="G672" s="8"/>
      <c r="L672" s="172"/>
    </row>
    <row r="673">
      <c r="B673" s="8"/>
      <c r="C673" s="8"/>
      <c r="D673" s="8"/>
      <c r="E673" s="8"/>
      <c r="F673" s="129"/>
      <c r="G673" s="8"/>
      <c r="L673" s="172"/>
    </row>
    <row r="674">
      <c r="B674" s="8"/>
      <c r="C674" s="8"/>
      <c r="D674" s="8"/>
      <c r="E674" s="8"/>
      <c r="F674" s="129"/>
      <c r="G674" s="8"/>
      <c r="L674" s="172"/>
    </row>
    <row r="675">
      <c r="B675" s="8"/>
      <c r="C675" s="8"/>
      <c r="D675" s="8"/>
      <c r="E675" s="8"/>
      <c r="F675" s="129"/>
      <c r="G675" s="8"/>
      <c r="L675" s="172"/>
    </row>
    <row r="676">
      <c r="B676" s="8"/>
      <c r="C676" s="8"/>
      <c r="D676" s="8"/>
      <c r="E676" s="8"/>
      <c r="F676" s="129"/>
      <c r="G676" s="8"/>
      <c r="L676" s="172"/>
    </row>
    <row r="677">
      <c r="B677" s="8"/>
      <c r="C677" s="8"/>
      <c r="D677" s="8"/>
      <c r="E677" s="8"/>
      <c r="F677" s="129"/>
      <c r="G677" s="8"/>
      <c r="L677" s="172"/>
    </row>
    <row r="678">
      <c r="B678" s="8"/>
      <c r="C678" s="8"/>
      <c r="D678" s="8"/>
      <c r="E678" s="8"/>
      <c r="F678" s="129"/>
      <c r="G678" s="8"/>
      <c r="L678" s="172"/>
    </row>
    <row r="679">
      <c r="B679" s="8"/>
      <c r="C679" s="8"/>
      <c r="D679" s="8"/>
      <c r="E679" s="8"/>
      <c r="F679" s="129"/>
      <c r="G679" s="8"/>
      <c r="L679" s="172"/>
    </row>
    <row r="680">
      <c r="B680" s="8"/>
      <c r="C680" s="8"/>
      <c r="D680" s="8"/>
      <c r="E680" s="8"/>
      <c r="F680" s="129"/>
      <c r="G680" s="8"/>
      <c r="L680" s="172"/>
    </row>
    <row r="681">
      <c r="B681" s="8"/>
      <c r="C681" s="8"/>
      <c r="D681" s="8"/>
      <c r="E681" s="8"/>
      <c r="F681" s="129"/>
      <c r="G681" s="8"/>
      <c r="L681" s="172"/>
    </row>
    <row r="682">
      <c r="B682" s="8"/>
      <c r="C682" s="8"/>
      <c r="D682" s="8"/>
      <c r="E682" s="8"/>
      <c r="F682" s="129"/>
      <c r="G682" s="8"/>
      <c r="L682" s="172"/>
    </row>
    <row r="683">
      <c r="B683" s="8"/>
      <c r="C683" s="8"/>
      <c r="D683" s="8"/>
      <c r="E683" s="8"/>
      <c r="F683" s="129"/>
      <c r="G683" s="8"/>
      <c r="L683" s="172"/>
    </row>
    <row r="684">
      <c r="B684" s="8"/>
      <c r="C684" s="8"/>
      <c r="D684" s="8"/>
      <c r="E684" s="8"/>
      <c r="F684" s="129"/>
      <c r="G684" s="8"/>
      <c r="L684" s="172"/>
    </row>
    <row r="685">
      <c r="B685" s="8"/>
      <c r="C685" s="8"/>
      <c r="D685" s="8"/>
      <c r="E685" s="8"/>
      <c r="F685" s="129"/>
      <c r="G685" s="8"/>
      <c r="L685" s="172"/>
    </row>
    <row r="686">
      <c r="B686" s="8"/>
      <c r="C686" s="8"/>
      <c r="D686" s="8"/>
      <c r="E686" s="8"/>
      <c r="F686" s="129"/>
      <c r="G686" s="8"/>
      <c r="L686" s="172"/>
    </row>
    <row r="687">
      <c r="B687" s="8"/>
      <c r="C687" s="8"/>
      <c r="D687" s="8"/>
      <c r="E687" s="8"/>
      <c r="F687" s="129"/>
      <c r="G687" s="8"/>
      <c r="L687" s="172"/>
    </row>
    <row r="688">
      <c r="B688" s="8"/>
      <c r="C688" s="8"/>
      <c r="D688" s="8"/>
      <c r="E688" s="8"/>
      <c r="F688" s="129"/>
      <c r="G688" s="8"/>
      <c r="L688" s="172"/>
    </row>
    <row r="689">
      <c r="B689" s="8"/>
      <c r="C689" s="8"/>
      <c r="D689" s="8"/>
      <c r="E689" s="8"/>
      <c r="F689" s="129"/>
      <c r="G689" s="8"/>
      <c r="L689" s="172"/>
    </row>
    <row r="690">
      <c r="B690" s="8"/>
      <c r="C690" s="8"/>
      <c r="D690" s="8"/>
      <c r="E690" s="8"/>
      <c r="F690" s="129"/>
      <c r="G690" s="8"/>
      <c r="L690" s="172"/>
    </row>
    <row r="691">
      <c r="B691" s="8"/>
      <c r="C691" s="8"/>
      <c r="D691" s="8"/>
      <c r="E691" s="8"/>
      <c r="F691" s="129"/>
      <c r="G691" s="8"/>
      <c r="L691" s="172"/>
    </row>
    <row r="692">
      <c r="B692" s="8"/>
      <c r="C692" s="8"/>
      <c r="D692" s="8"/>
      <c r="E692" s="8"/>
      <c r="F692" s="129"/>
      <c r="G692" s="8"/>
      <c r="L692" s="172"/>
    </row>
    <row r="693">
      <c r="B693" s="8"/>
      <c r="C693" s="8"/>
      <c r="D693" s="8"/>
      <c r="E693" s="8"/>
      <c r="F693" s="129"/>
      <c r="G693" s="8"/>
      <c r="L693" s="172"/>
    </row>
    <row r="694">
      <c r="B694" s="8"/>
      <c r="C694" s="8"/>
      <c r="D694" s="8"/>
      <c r="E694" s="8"/>
      <c r="F694" s="129"/>
      <c r="G694" s="8"/>
      <c r="L694" s="172"/>
    </row>
    <row r="695">
      <c r="B695" s="8"/>
      <c r="C695" s="8"/>
      <c r="D695" s="8"/>
      <c r="E695" s="8"/>
      <c r="F695" s="129"/>
      <c r="G695" s="8"/>
      <c r="L695" s="172"/>
    </row>
    <row r="696">
      <c r="B696" s="8"/>
      <c r="C696" s="8"/>
      <c r="D696" s="8"/>
      <c r="E696" s="8"/>
      <c r="F696" s="129"/>
      <c r="G696" s="8"/>
      <c r="L696" s="172"/>
    </row>
    <row r="697">
      <c r="B697" s="8"/>
      <c r="C697" s="8"/>
      <c r="D697" s="8"/>
      <c r="E697" s="8"/>
      <c r="F697" s="129"/>
      <c r="G697" s="8"/>
      <c r="L697" s="172"/>
    </row>
    <row r="698">
      <c r="B698" s="8"/>
      <c r="C698" s="8"/>
      <c r="D698" s="8"/>
      <c r="E698" s="8"/>
      <c r="F698" s="129"/>
      <c r="G698" s="8"/>
      <c r="L698" s="172"/>
    </row>
    <row r="699">
      <c r="B699" s="8"/>
      <c r="C699" s="8"/>
      <c r="D699" s="8"/>
      <c r="E699" s="8"/>
      <c r="F699" s="129"/>
      <c r="G699" s="8"/>
      <c r="L699" s="172"/>
    </row>
    <row r="700">
      <c r="B700" s="8"/>
      <c r="C700" s="8"/>
      <c r="D700" s="8"/>
      <c r="E700" s="8"/>
      <c r="F700" s="129"/>
      <c r="G700" s="8"/>
      <c r="L700" s="172"/>
    </row>
    <row r="701">
      <c r="B701" s="8"/>
      <c r="C701" s="8"/>
      <c r="D701" s="8"/>
      <c r="E701" s="8"/>
      <c r="F701" s="129"/>
      <c r="G701" s="8"/>
      <c r="L701" s="172"/>
    </row>
    <row r="702">
      <c r="B702" s="8"/>
      <c r="C702" s="8"/>
      <c r="D702" s="8"/>
      <c r="E702" s="8"/>
      <c r="F702" s="129"/>
      <c r="G702" s="8"/>
      <c r="L702" s="172"/>
    </row>
    <row r="703">
      <c r="B703" s="8"/>
      <c r="C703" s="8"/>
      <c r="D703" s="8"/>
      <c r="E703" s="8"/>
      <c r="F703" s="129"/>
      <c r="G703" s="8"/>
      <c r="L703" s="172"/>
    </row>
    <row r="704">
      <c r="B704" s="8"/>
      <c r="C704" s="8"/>
      <c r="D704" s="8"/>
      <c r="E704" s="8"/>
      <c r="F704" s="129"/>
      <c r="G704" s="8"/>
      <c r="L704" s="172"/>
    </row>
    <row r="705">
      <c r="B705" s="8"/>
      <c r="C705" s="8"/>
      <c r="D705" s="8"/>
      <c r="E705" s="8"/>
      <c r="F705" s="129"/>
      <c r="G705" s="8"/>
      <c r="L705" s="172"/>
    </row>
    <row r="706">
      <c r="B706" s="8"/>
      <c r="C706" s="8"/>
      <c r="D706" s="8"/>
      <c r="E706" s="8"/>
      <c r="F706" s="129"/>
      <c r="G706" s="8"/>
      <c r="L706" s="172"/>
    </row>
    <row r="707">
      <c r="B707" s="8"/>
      <c r="C707" s="8"/>
      <c r="D707" s="8"/>
      <c r="E707" s="8"/>
      <c r="F707" s="129"/>
      <c r="G707" s="8"/>
      <c r="L707" s="172"/>
    </row>
    <row r="708">
      <c r="B708" s="8"/>
      <c r="C708" s="8"/>
      <c r="D708" s="8"/>
      <c r="E708" s="8"/>
      <c r="F708" s="129"/>
      <c r="G708" s="8"/>
      <c r="L708" s="172"/>
    </row>
    <row r="709">
      <c r="B709" s="8"/>
      <c r="C709" s="8"/>
      <c r="D709" s="8"/>
      <c r="E709" s="8"/>
      <c r="F709" s="129"/>
      <c r="G709" s="8"/>
      <c r="L709" s="172"/>
    </row>
    <row r="710">
      <c r="B710" s="8"/>
      <c r="C710" s="8"/>
      <c r="D710" s="8"/>
      <c r="E710" s="8"/>
      <c r="F710" s="129"/>
      <c r="G710" s="8"/>
      <c r="L710" s="172"/>
    </row>
    <row r="711">
      <c r="B711" s="8"/>
      <c r="C711" s="8"/>
      <c r="D711" s="8"/>
      <c r="E711" s="8"/>
      <c r="F711" s="129"/>
      <c r="G711" s="8"/>
      <c r="L711" s="172"/>
    </row>
    <row r="712">
      <c r="B712" s="8"/>
      <c r="C712" s="8"/>
      <c r="D712" s="8"/>
      <c r="E712" s="8"/>
      <c r="F712" s="129"/>
      <c r="G712" s="8"/>
      <c r="L712" s="172"/>
    </row>
    <row r="713">
      <c r="B713" s="8"/>
      <c r="C713" s="8"/>
      <c r="D713" s="8"/>
      <c r="E713" s="8"/>
      <c r="F713" s="129"/>
      <c r="G713" s="8"/>
      <c r="L713" s="172"/>
    </row>
    <row r="714">
      <c r="B714" s="8"/>
      <c r="C714" s="8"/>
      <c r="D714" s="8"/>
      <c r="E714" s="8"/>
      <c r="F714" s="129"/>
      <c r="G714" s="8"/>
      <c r="L714" s="172"/>
    </row>
    <row r="715">
      <c r="B715" s="8"/>
      <c r="C715" s="8"/>
      <c r="D715" s="8"/>
      <c r="E715" s="8"/>
      <c r="F715" s="129"/>
      <c r="G715" s="8"/>
      <c r="L715" s="172"/>
    </row>
    <row r="716">
      <c r="B716" s="8"/>
      <c r="C716" s="8"/>
      <c r="D716" s="8"/>
      <c r="E716" s="8"/>
      <c r="F716" s="129"/>
      <c r="G716" s="8"/>
      <c r="L716" s="172"/>
    </row>
    <row r="717">
      <c r="B717" s="8"/>
      <c r="C717" s="8"/>
      <c r="D717" s="8"/>
      <c r="E717" s="8"/>
      <c r="F717" s="129"/>
      <c r="G717" s="8"/>
      <c r="L717" s="172"/>
    </row>
    <row r="718">
      <c r="B718" s="8"/>
      <c r="C718" s="8"/>
      <c r="D718" s="8"/>
      <c r="E718" s="8"/>
      <c r="F718" s="129"/>
      <c r="G718" s="8"/>
      <c r="L718" s="172"/>
    </row>
    <row r="719">
      <c r="B719" s="8"/>
      <c r="C719" s="8"/>
      <c r="D719" s="8"/>
      <c r="E719" s="8"/>
      <c r="F719" s="129"/>
      <c r="G719" s="8"/>
      <c r="L719" s="172"/>
    </row>
    <row r="720">
      <c r="B720" s="8"/>
      <c r="C720" s="8"/>
      <c r="D720" s="8"/>
      <c r="E720" s="8"/>
      <c r="F720" s="129"/>
      <c r="G720" s="8"/>
      <c r="L720" s="172"/>
    </row>
    <row r="721">
      <c r="B721" s="8"/>
      <c r="C721" s="8"/>
      <c r="D721" s="8"/>
      <c r="E721" s="8"/>
      <c r="F721" s="129"/>
      <c r="G721" s="8"/>
      <c r="L721" s="172"/>
    </row>
    <row r="722">
      <c r="B722" s="8"/>
      <c r="C722" s="8"/>
      <c r="D722" s="8"/>
      <c r="E722" s="8"/>
      <c r="F722" s="129"/>
      <c r="G722" s="8"/>
      <c r="L722" s="172"/>
    </row>
    <row r="723">
      <c r="B723" s="8"/>
      <c r="C723" s="8"/>
      <c r="D723" s="8"/>
      <c r="E723" s="8"/>
      <c r="F723" s="129"/>
      <c r="G723" s="8"/>
      <c r="L723" s="172"/>
    </row>
    <row r="724">
      <c r="B724" s="8"/>
      <c r="C724" s="8"/>
      <c r="D724" s="8"/>
      <c r="E724" s="8"/>
      <c r="F724" s="129"/>
      <c r="G724" s="8"/>
      <c r="L724" s="172"/>
    </row>
    <row r="725">
      <c r="B725" s="8"/>
      <c r="C725" s="8"/>
      <c r="D725" s="8"/>
      <c r="E725" s="8"/>
      <c r="F725" s="129"/>
      <c r="G725" s="8"/>
      <c r="L725" s="172"/>
    </row>
    <row r="726">
      <c r="B726" s="8"/>
      <c r="C726" s="8"/>
      <c r="D726" s="8"/>
      <c r="E726" s="8"/>
      <c r="F726" s="129"/>
      <c r="G726" s="8"/>
      <c r="L726" s="172"/>
    </row>
    <row r="727">
      <c r="B727" s="8"/>
      <c r="C727" s="8"/>
      <c r="D727" s="8"/>
      <c r="E727" s="8"/>
      <c r="F727" s="129"/>
      <c r="G727" s="8"/>
      <c r="L727" s="172"/>
    </row>
    <row r="728">
      <c r="B728" s="8"/>
      <c r="C728" s="8"/>
      <c r="D728" s="8"/>
      <c r="E728" s="8"/>
      <c r="F728" s="129"/>
      <c r="G728" s="8"/>
      <c r="L728" s="172"/>
    </row>
    <row r="729">
      <c r="B729" s="8"/>
      <c r="C729" s="8"/>
      <c r="D729" s="8"/>
      <c r="E729" s="8"/>
      <c r="F729" s="129"/>
      <c r="G729" s="8"/>
      <c r="L729" s="172"/>
    </row>
    <row r="730">
      <c r="B730" s="8"/>
      <c r="C730" s="8"/>
      <c r="D730" s="8"/>
      <c r="E730" s="8"/>
      <c r="F730" s="129"/>
      <c r="G730" s="8"/>
      <c r="L730" s="172"/>
    </row>
    <row r="731">
      <c r="B731" s="8"/>
      <c r="C731" s="8"/>
      <c r="D731" s="8"/>
      <c r="E731" s="8"/>
      <c r="F731" s="129"/>
      <c r="G731" s="8"/>
      <c r="L731" s="172"/>
    </row>
    <row r="732">
      <c r="B732" s="8"/>
      <c r="C732" s="8"/>
      <c r="D732" s="8"/>
      <c r="E732" s="8"/>
      <c r="F732" s="129"/>
      <c r="G732" s="8"/>
      <c r="L732" s="172"/>
    </row>
    <row r="733">
      <c r="B733" s="8"/>
      <c r="C733" s="8"/>
      <c r="D733" s="8"/>
      <c r="E733" s="8"/>
      <c r="F733" s="129"/>
      <c r="G733" s="8"/>
      <c r="L733" s="172"/>
    </row>
    <row r="734">
      <c r="B734" s="8"/>
      <c r="C734" s="8"/>
      <c r="D734" s="8"/>
      <c r="E734" s="8"/>
      <c r="F734" s="129"/>
      <c r="G734" s="8"/>
      <c r="L734" s="172"/>
    </row>
    <row r="735">
      <c r="B735" s="8"/>
      <c r="C735" s="8"/>
      <c r="D735" s="8"/>
      <c r="E735" s="8"/>
      <c r="F735" s="129"/>
      <c r="G735" s="8"/>
      <c r="L735" s="172"/>
    </row>
    <row r="736">
      <c r="B736" s="8"/>
      <c r="C736" s="8"/>
      <c r="D736" s="8"/>
      <c r="E736" s="8"/>
      <c r="F736" s="129"/>
      <c r="G736" s="8"/>
      <c r="L736" s="172"/>
    </row>
    <row r="737">
      <c r="B737" s="8"/>
      <c r="C737" s="8"/>
      <c r="D737" s="8"/>
      <c r="E737" s="8"/>
      <c r="F737" s="129"/>
      <c r="G737" s="8"/>
      <c r="L737" s="172"/>
    </row>
    <row r="738">
      <c r="B738" s="8"/>
      <c r="C738" s="8"/>
      <c r="D738" s="8"/>
      <c r="E738" s="8"/>
      <c r="F738" s="129"/>
      <c r="G738" s="8"/>
      <c r="L738" s="172"/>
    </row>
    <row r="739">
      <c r="B739" s="8"/>
      <c r="C739" s="8"/>
      <c r="D739" s="8"/>
      <c r="E739" s="8"/>
      <c r="F739" s="129"/>
      <c r="G739" s="8"/>
      <c r="L739" s="172"/>
    </row>
    <row r="740">
      <c r="B740" s="8"/>
      <c r="C740" s="8"/>
      <c r="D740" s="8"/>
      <c r="E740" s="8"/>
      <c r="F740" s="129"/>
      <c r="G740" s="8"/>
      <c r="L740" s="172"/>
    </row>
    <row r="741">
      <c r="B741" s="8"/>
      <c r="C741" s="8"/>
      <c r="D741" s="8"/>
      <c r="E741" s="8"/>
      <c r="F741" s="129"/>
      <c r="G741" s="8"/>
      <c r="L741" s="172"/>
    </row>
    <row r="742">
      <c r="B742" s="8"/>
      <c r="C742" s="8"/>
      <c r="D742" s="8"/>
      <c r="E742" s="8"/>
      <c r="F742" s="129"/>
      <c r="G742" s="8"/>
      <c r="L742" s="172"/>
    </row>
    <row r="743">
      <c r="B743" s="8"/>
      <c r="C743" s="8"/>
      <c r="D743" s="8"/>
      <c r="E743" s="8"/>
      <c r="F743" s="129"/>
      <c r="G743" s="8"/>
      <c r="L743" s="172"/>
    </row>
    <row r="744">
      <c r="B744" s="8"/>
      <c r="C744" s="8"/>
      <c r="D744" s="8"/>
      <c r="E744" s="8"/>
      <c r="F744" s="129"/>
      <c r="G744" s="8"/>
      <c r="L744" s="172"/>
    </row>
    <row r="745">
      <c r="B745" s="8"/>
      <c r="C745" s="8"/>
      <c r="D745" s="8"/>
      <c r="E745" s="8"/>
      <c r="F745" s="129"/>
      <c r="G745" s="8"/>
      <c r="L745" s="172"/>
    </row>
    <row r="746">
      <c r="B746" s="8"/>
      <c r="C746" s="8"/>
      <c r="D746" s="8"/>
      <c r="E746" s="8"/>
      <c r="F746" s="129"/>
      <c r="G746" s="8"/>
      <c r="L746" s="172"/>
    </row>
    <row r="747">
      <c r="B747" s="8"/>
      <c r="C747" s="8"/>
      <c r="D747" s="8"/>
      <c r="E747" s="8"/>
      <c r="F747" s="129"/>
      <c r="G747" s="8"/>
      <c r="L747" s="172"/>
    </row>
    <row r="748">
      <c r="B748" s="8"/>
      <c r="C748" s="8"/>
      <c r="D748" s="8"/>
      <c r="E748" s="8"/>
      <c r="F748" s="129"/>
      <c r="G748" s="8"/>
      <c r="L748" s="172"/>
    </row>
    <row r="749">
      <c r="B749" s="8"/>
      <c r="C749" s="8"/>
      <c r="D749" s="8"/>
      <c r="E749" s="8"/>
      <c r="F749" s="129"/>
      <c r="G749" s="8"/>
      <c r="L749" s="172"/>
    </row>
    <row r="750">
      <c r="B750" s="8"/>
      <c r="C750" s="8"/>
      <c r="D750" s="8"/>
      <c r="E750" s="8"/>
      <c r="F750" s="129"/>
      <c r="G750" s="8"/>
      <c r="L750" s="172"/>
    </row>
    <row r="751">
      <c r="B751" s="8"/>
      <c r="C751" s="8"/>
      <c r="D751" s="8"/>
      <c r="E751" s="8"/>
      <c r="F751" s="129"/>
      <c r="G751" s="8"/>
      <c r="L751" s="172"/>
    </row>
    <row r="752">
      <c r="B752" s="8"/>
      <c r="C752" s="8"/>
      <c r="D752" s="8"/>
      <c r="E752" s="8"/>
      <c r="F752" s="129"/>
      <c r="G752" s="8"/>
      <c r="L752" s="172"/>
    </row>
    <row r="753">
      <c r="B753" s="8"/>
      <c r="C753" s="8"/>
      <c r="D753" s="8"/>
      <c r="E753" s="8"/>
      <c r="F753" s="129"/>
      <c r="G753" s="8"/>
      <c r="L753" s="172"/>
    </row>
    <row r="754">
      <c r="B754" s="8"/>
      <c r="C754" s="8"/>
      <c r="D754" s="8"/>
      <c r="E754" s="8"/>
      <c r="F754" s="129"/>
      <c r="G754" s="8"/>
      <c r="L754" s="172"/>
    </row>
    <row r="755">
      <c r="B755" s="8"/>
      <c r="C755" s="8"/>
      <c r="D755" s="8"/>
      <c r="E755" s="8"/>
      <c r="F755" s="129"/>
      <c r="G755" s="8"/>
      <c r="L755" s="172"/>
    </row>
    <row r="756">
      <c r="B756" s="8"/>
      <c r="C756" s="8"/>
      <c r="D756" s="8"/>
      <c r="E756" s="8"/>
      <c r="F756" s="129"/>
      <c r="G756" s="8"/>
      <c r="L756" s="172"/>
    </row>
    <row r="757">
      <c r="B757" s="8"/>
      <c r="C757" s="8"/>
      <c r="D757" s="8"/>
      <c r="E757" s="8"/>
      <c r="F757" s="129"/>
      <c r="G757" s="8"/>
      <c r="L757" s="172"/>
    </row>
    <row r="758">
      <c r="B758" s="8"/>
      <c r="C758" s="8"/>
      <c r="D758" s="8"/>
      <c r="E758" s="8"/>
      <c r="F758" s="129"/>
      <c r="G758" s="8"/>
      <c r="L758" s="172"/>
    </row>
    <row r="759">
      <c r="B759" s="8"/>
      <c r="C759" s="8"/>
      <c r="D759" s="8"/>
      <c r="E759" s="8"/>
      <c r="F759" s="129"/>
      <c r="G759" s="8"/>
      <c r="L759" s="172"/>
    </row>
    <row r="760">
      <c r="B760" s="8"/>
      <c r="C760" s="8"/>
      <c r="D760" s="8"/>
      <c r="E760" s="8"/>
      <c r="F760" s="129"/>
      <c r="G760" s="8"/>
      <c r="L760" s="172"/>
    </row>
    <row r="761">
      <c r="B761" s="8"/>
      <c r="C761" s="8"/>
      <c r="D761" s="8"/>
      <c r="E761" s="8"/>
      <c r="F761" s="129"/>
      <c r="G761" s="8"/>
      <c r="L761" s="172"/>
    </row>
    <row r="762">
      <c r="B762" s="8"/>
      <c r="C762" s="8"/>
      <c r="D762" s="8"/>
      <c r="E762" s="8"/>
      <c r="F762" s="129"/>
      <c r="G762" s="8"/>
      <c r="L762" s="172"/>
    </row>
    <row r="763">
      <c r="B763" s="8"/>
      <c r="C763" s="8"/>
      <c r="D763" s="8"/>
      <c r="E763" s="8"/>
      <c r="F763" s="129"/>
      <c r="G763" s="8"/>
      <c r="L763" s="172"/>
    </row>
    <row r="764">
      <c r="B764" s="8"/>
      <c r="C764" s="8"/>
      <c r="D764" s="8"/>
      <c r="E764" s="8"/>
      <c r="F764" s="129"/>
      <c r="G764" s="8"/>
      <c r="L764" s="172"/>
    </row>
    <row r="765">
      <c r="B765" s="8"/>
      <c r="C765" s="8"/>
      <c r="D765" s="8"/>
      <c r="E765" s="8"/>
      <c r="F765" s="129"/>
      <c r="G765" s="8"/>
      <c r="L765" s="172"/>
    </row>
    <row r="766">
      <c r="B766" s="8"/>
      <c r="C766" s="8"/>
      <c r="D766" s="8"/>
      <c r="E766" s="8"/>
      <c r="F766" s="129"/>
      <c r="G766" s="8"/>
      <c r="L766" s="172"/>
    </row>
    <row r="767">
      <c r="B767" s="8"/>
      <c r="C767" s="8"/>
      <c r="D767" s="8"/>
      <c r="E767" s="8"/>
      <c r="F767" s="129"/>
      <c r="G767" s="8"/>
      <c r="L767" s="172"/>
    </row>
    <row r="768">
      <c r="B768" s="8"/>
      <c r="C768" s="8"/>
      <c r="D768" s="8"/>
      <c r="E768" s="8"/>
      <c r="F768" s="129"/>
      <c r="G768" s="8"/>
      <c r="L768" s="172"/>
    </row>
    <row r="769">
      <c r="B769" s="8"/>
      <c r="C769" s="8"/>
      <c r="D769" s="8"/>
      <c r="E769" s="8"/>
      <c r="F769" s="129"/>
      <c r="G769" s="8"/>
      <c r="L769" s="172"/>
    </row>
    <row r="770">
      <c r="B770" s="8"/>
      <c r="C770" s="8"/>
      <c r="D770" s="8"/>
      <c r="E770" s="8"/>
      <c r="F770" s="129"/>
      <c r="G770" s="8"/>
      <c r="L770" s="172"/>
    </row>
    <row r="771">
      <c r="B771" s="8"/>
      <c r="C771" s="8"/>
      <c r="D771" s="8"/>
      <c r="E771" s="8"/>
      <c r="F771" s="129"/>
      <c r="G771" s="8"/>
      <c r="L771" s="172"/>
    </row>
    <row r="772">
      <c r="B772" s="8"/>
      <c r="C772" s="8"/>
      <c r="D772" s="8"/>
      <c r="E772" s="8"/>
      <c r="F772" s="129"/>
      <c r="G772" s="8"/>
      <c r="L772" s="172"/>
    </row>
    <row r="773">
      <c r="B773" s="8"/>
      <c r="C773" s="8"/>
      <c r="D773" s="8"/>
      <c r="E773" s="8"/>
      <c r="F773" s="129"/>
      <c r="G773" s="8"/>
      <c r="L773" s="172"/>
    </row>
    <row r="774">
      <c r="B774" s="8"/>
      <c r="C774" s="8"/>
      <c r="D774" s="8"/>
      <c r="E774" s="8"/>
      <c r="F774" s="129"/>
      <c r="G774" s="8"/>
      <c r="L774" s="172"/>
    </row>
    <row r="775">
      <c r="B775" s="8"/>
      <c r="C775" s="8"/>
      <c r="D775" s="8"/>
      <c r="E775" s="8"/>
      <c r="F775" s="129"/>
      <c r="G775" s="8"/>
      <c r="L775" s="172"/>
    </row>
    <row r="776">
      <c r="B776" s="8"/>
      <c r="C776" s="8"/>
      <c r="D776" s="8"/>
      <c r="E776" s="8"/>
      <c r="F776" s="129"/>
      <c r="G776" s="8"/>
      <c r="L776" s="172"/>
    </row>
    <row r="777">
      <c r="B777" s="8"/>
      <c r="C777" s="8"/>
      <c r="D777" s="8"/>
      <c r="E777" s="8"/>
      <c r="F777" s="129"/>
      <c r="G777" s="8"/>
      <c r="L777" s="172"/>
    </row>
    <row r="778">
      <c r="B778" s="8"/>
      <c r="C778" s="8"/>
      <c r="D778" s="8"/>
      <c r="E778" s="8"/>
      <c r="F778" s="129"/>
      <c r="G778" s="8"/>
      <c r="L778" s="172"/>
    </row>
    <row r="779">
      <c r="B779" s="8"/>
      <c r="C779" s="8"/>
      <c r="D779" s="8"/>
      <c r="E779" s="8"/>
      <c r="F779" s="129"/>
      <c r="G779" s="8"/>
      <c r="L779" s="172"/>
    </row>
    <row r="780">
      <c r="B780" s="8"/>
      <c r="C780" s="8"/>
      <c r="D780" s="8"/>
      <c r="E780" s="8"/>
      <c r="F780" s="129"/>
      <c r="G780" s="8"/>
      <c r="L780" s="172"/>
    </row>
    <row r="781">
      <c r="B781" s="8"/>
      <c r="C781" s="8"/>
      <c r="D781" s="8"/>
      <c r="E781" s="8"/>
      <c r="F781" s="129"/>
      <c r="G781" s="8"/>
      <c r="L781" s="172"/>
    </row>
    <row r="782">
      <c r="B782" s="8"/>
      <c r="C782" s="8"/>
      <c r="D782" s="8"/>
      <c r="E782" s="8"/>
      <c r="F782" s="129"/>
      <c r="G782" s="8"/>
      <c r="L782" s="172"/>
    </row>
    <row r="783">
      <c r="B783" s="8"/>
      <c r="C783" s="8"/>
      <c r="D783" s="8"/>
      <c r="E783" s="8"/>
      <c r="F783" s="129"/>
      <c r="G783" s="8"/>
      <c r="L783" s="172"/>
    </row>
    <row r="784">
      <c r="B784" s="8"/>
      <c r="C784" s="8"/>
      <c r="D784" s="8"/>
      <c r="E784" s="8"/>
      <c r="F784" s="129"/>
      <c r="G784" s="8"/>
      <c r="L784" s="172"/>
    </row>
    <row r="785">
      <c r="B785" s="8"/>
      <c r="C785" s="8"/>
      <c r="D785" s="8"/>
      <c r="E785" s="8"/>
      <c r="F785" s="129"/>
      <c r="G785" s="8"/>
      <c r="L785" s="172"/>
    </row>
    <row r="786">
      <c r="B786" s="8"/>
      <c r="C786" s="8"/>
      <c r="D786" s="8"/>
      <c r="E786" s="8"/>
      <c r="F786" s="129"/>
      <c r="G786" s="8"/>
      <c r="L786" s="172"/>
    </row>
    <row r="787">
      <c r="B787" s="8"/>
      <c r="C787" s="8"/>
      <c r="D787" s="8"/>
      <c r="E787" s="8"/>
      <c r="F787" s="129"/>
      <c r="G787" s="8"/>
      <c r="L787" s="172"/>
    </row>
    <row r="788">
      <c r="B788" s="8"/>
      <c r="C788" s="8"/>
      <c r="D788" s="8"/>
      <c r="E788" s="8"/>
      <c r="F788" s="129"/>
      <c r="G788" s="8"/>
      <c r="L788" s="172"/>
    </row>
    <row r="789">
      <c r="B789" s="8"/>
      <c r="C789" s="8"/>
      <c r="D789" s="8"/>
      <c r="E789" s="8"/>
      <c r="F789" s="129"/>
      <c r="G789" s="8"/>
      <c r="L789" s="172"/>
    </row>
    <row r="790">
      <c r="B790" s="8"/>
      <c r="C790" s="8"/>
      <c r="D790" s="8"/>
      <c r="E790" s="8"/>
      <c r="F790" s="129"/>
      <c r="G790" s="8"/>
      <c r="L790" s="172"/>
    </row>
    <row r="791">
      <c r="B791" s="8"/>
      <c r="C791" s="8"/>
      <c r="D791" s="8"/>
      <c r="E791" s="8"/>
      <c r="F791" s="129"/>
      <c r="G791" s="8"/>
      <c r="L791" s="172"/>
    </row>
    <row r="792">
      <c r="B792" s="8"/>
      <c r="C792" s="8"/>
      <c r="D792" s="8"/>
      <c r="E792" s="8"/>
      <c r="F792" s="129"/>
      <c r="G792" s="8"/>
      <c r="L792" s="172"/>
    </row>
    <row r="793">
      <c r="B793" s="8"/>
      <c r="C793" s="8"/>
      <c r="D793" s="8"/>
      <c r="E793" s="8"/>
      <c r="F793" s="129"/>
      <c r="G793" s="8"/>
      <c r="L793" s="172"/>
    </row>
    <row r="794">
      <c r="B794" s="8"/>
      <c r="C794" s="8"/>
      <c r="D794" s="8"/>
      <c r="E794" s="8"/>
      <c r="F794" s="129"/>
      <c r="G794" s="8"/>
      <c r="L794" s="172"/>
    </row>
    <row r="795">
      <c r="B795" s="8"/>
      <c r="C795" s="8"/>
      <c r="D795" s="8"/>
      <c r="E795" s="8"/>
      <c r="F795" s="129"/>
      <c r="G795" s="8"/>
      <c r="L795" s="172"/>
    </row>
    <row r="796">
      <c r="B796" s="8"/>
      <c r="C796" s="8"/>
      <c r="D796" s="8"/>
      <c r="E796" s="8"/>
      <c r="F796" s="129"/>
      <c r="G796" s="8"/>
      <c r="L796" s="172"/>
    </row>
    <row r="797">
      <c r="B797" s="8"/>
      <c r="C797" s="8"/>
      <c r="D797" s="8"/>
      <c r="E797" s="8"/>
      <c r="F797" s="129"/>
      <c r="G797" s="8"/>
      <c r="L797" s="172"/>
    </row>
    <row r="798">
      <c r="B798" s="8"/>
      <c r="C798" s="8"/>
      <c r="D798" s="8"/>
      <c r="E798" s="8"/>
      <c r="F798" s="129"/>
      <c r="G798" s="8"/>
      <c r="L798" s="172"/>
    </row>
    <row r="799">
      <c r="B799" s="8"/>
      <c r="C799" s="8"/>
      <c r="D799" s="8"/>
      <c r="E799" s="8"/>
      <c r="F799" s="129"/>
      <c r="G799" s="8"/>
      <c r="L799" s="172"/>
    </row>
    <row r="800">
      <c r="B800" s="8"/>
      <c r="C800" s="8"/>
      <c r="D800" s="8"/>
      <c r="E800" s="8"/>
      <c r="F800" s="129"/>
      <c r="G800" s="8"/>
      <c r="L800" s="172"/>
    </row>
    <row r="801">
      <c r="B801" s="8"/>
      <c r="C801" s="8"/>
      <c r="D801" s="8"/>
      <c r="E801" s="8"/>
      <c r="F801" s="129"/>
      <c r="G801" s="8"/>
      <c r="L801" s="172"/>
    </row>
    <row r="802">
      <c r="B802" s="8"/>
      <c r="C802" s="8"/>
      <c r="D802" s="8"/>
      <c r="E802" s="8"/>
      <c r="F802" s="129"/>
      <c r="G802" s="8"/>
      <c r="L802" s="172"/>
    </row>
    <row r="803">
      <c r="B803" s="8"/>
      <c r="C803" s="8"/>
      <c r="D803" s="8"/>
      <c r="E803" s="8"/>
      <c r="F803" s="129"/>
      <c r="G803" s="8"/>
      <c r="L803" s="172"/>
    </row>
    <row r="804">
      <c r="B804" s="8"/>
      <c r="C804" s="8"/>
      <c r="D804" s="8"/>
      <c r="E804" s="8"/>
      <c r="F804" s="129"/>
      <c r="G804" s="8"/>
      <c r="L804" s="172"/>
    </row>
    <row r="805">
      <c r="B805" s="8"/>
      <c r="C805" s="8"/>
      <c r="D805" s="8"/>
      <c r="E805" s="8"/>
      <c r="F805" s="129"/>
      <c r="G805" s="8"/>
      <c r="L805" s="172"/>
    </row>
    <row r="806">
      <c r="B806" s="8"/>
      <c r="C806" s="8"/>
      <c r="D806" s="8"/>
      <c r="E806" s="8"/>
      <c r="F806" s="129"/>
      <c r="G806" s="8"/>
      <c r="L806" s="172"/>
    </row>
    <row r="807">
      <c r="B807" s="8"/>
      <c r="C807" s="8"/>
      <c r="D807" s="8"/>
      <c r="E807" s="8"/>
      <c r="F807" s="129"/>
      <c r="G807" s="8"/>
      <c r="L807" s="172"/>
    </row>
    <row r="808">
      <c r="B808" s="8"/>
      <c r="C808" s="8"/>
      <c r="D808" s="8"/>
      <c r="E808" s="8"/>
      <c r="F808" s="129"/>
      <c r="G808" s="8"/>
      <c r="L808" s="172"/>
    </row>
    <row r="809">
      <c r="B809" s="8"/>
      <c r="C809" s="8"/>
      <c r="D809" s="8"/>
      <c r="E809" s="8"/>
      <c r="F809" s="129"/>
      <c r="G809" s="8"/>
      <c r="L809" s="172"/>
    </row>
    <row r="810">
      <c r="B810" s="8"/>
      <c r="C810" s="8"/>
      <c r="D810" s="8"/>
      <c r="E810" s="8"/>
      <c r="F810" s="129"/>
      <c r="G810" s="8"/>
      <c r="L810" s="172"/>
    </row>
    <row r="811">
      <c r="B811" s="8"/>
      <c r="C811" s="8"/>
      <c r="D811" s="8"/>
      <c r="E811" s="8"/>
      <c r="F811" s="129"/>
      <c r="G811" s="8"/>
      <c r="L811" s="172"/>
    </row>
    <row r="812">
      <c r="B812" s="8"/>
      <c r="C812" s="8"/>
      <c r="D812" s="8"/>
      <c r="E812" s="8"/>
      <c r="F812" s="129"/>
      <c r="G812" s="8"/>
      <c r="L812" s="172"/>
    </row>
    <row r="813">
      <c r="B813" s="8"/>
      <c r="C813" s="8"/>
      <c r="D813" s="8"/>
      <c r="E813" s="8"/>
      <c r="F813" s="129"/>
      <c r="G813" s="8"/>
      <c r="L813" s="172"/>
    </row>
    <row r="814">
      <c r="B814" s="8"/>
      <c r="C814" s="8"/>
      <c r="D814" s="8"/>
      <c r="E814" s="8"/>
      <c r="F814" s="129"/>
      <c r="G814" s="8"/>
      <c r="L814" s="172"/>
    </row>
    <row r="815">
      <c r="B815" s="8"/>
      <c r="C815" s="8"/>
      <c r="D815" s="8"/>
      <c r="E815" s="8"/>
      <c r="F815" s="129"/>
      <c r="G815" s="8"/>
      <c r="L815" s="172"/>
    </row>
    <row r="816">
      <c r="B816" s="8"/>
      <c r="C816" s="8"/>
      <c r="D816" s="8"/>
      <c r="E816" s="8"/>
      <c r="F816" s="129"/>
      <c r="G816" s="8"/>
      <c r="L816" s="172"/>
    </row>
    <row r="817">
      <c r="B817" s="8"/>
      <c r="C817" s="8"/>
      <c r="D817" s="8"/>
      <c r="E817" s="8"/>
      <c r="F817" s="129"/>
      <c r="G817" s="8"/>
      <c r="L817" s="172"/>
    </row>
    <row r="818">
      <c r="B818" s="8"/>
      <c r="C818" s="8"/>
      <c r="D818" s="8"/>
      <c r="E818" s="8"/>
      <c r="F818" s="129"/>
      <c r="G818" s="8"/>
      <c r="L818" s="172"/>
    </row>
    <row r="819">
      <c r="B819" s="8"/>
      <c r="C819" s="8"/>
      <c r="D819" s="8"/>
      <c r="E819" s="8"/>
      <c r="F819" s="129"/>
      <c r="G819" s="8"/>
      <c r="L819" s="172"/>
    </row>
    <row r="820">
      <c r="B820" s="8"/>
      <c r="C820" s="8"/>
      <c r="D820" s="8"/>
      <c r="E820" s="8"/>
      <c r="F820" s="129"/>
      <c r="G820" s="8"/>
      <c r="L820" s="172"/>
    </row>
    <row r="821">
      <c r="B821" s="8"/>
      <c r="C821" s="8"/>
      <c r="D821" s="8"/>
      <c r="E821" s="8"/>
      <c r="F821" s="129"/>
      <c r="G821" s="8"/>
      <c r="L821" s="172"/>
    </row>
    <row r="822">
      <c r="B822" s="8"/>
      <c r="C822" s="8"/>
      <c r="D822" s="8"/>
      <c r="E822" s="8"/>
      <c r="F822" s="129"/>
      <c r="G822" s="8"/>
      <c r="L822" s="172"/>
    </row>
    <row r="823">
      <c r="B823" s="8"/>
      <c r="C823" s="8"/>
      <c r="D823" s="8"/>
      <c r="E823" s="8"/>
      <c r="F823" s="129"/>
      <c r="G823" s="8"/>
      <c r="L823" s="172"/>
    </row>
    <row r="824">
      <c r="B824" s="8"/>
      <c r="C824" s="8"/>
      <c r="D824" s="8"/>
      <c r="E824" s="8"/>
      <c r="F824" s="129"/>
      <c r="G824" s="8"/>
      <c r="L824" s="172"/>
    </row>
    <row r="825">
      <c r="B825" s="8"/>
      <c r="C825" s="8"/>
      <c r="D825" s="8"/>
      <c r="E825" s="8"/>
      <c r="F825" s="129"/>
      <c r="G825" s="8"/>
      <c r="L825" s="172"/>
    </row>
    <row r="826">
      <c r="B826" s="8"/>
      <c r="C826" s="8"/>
      <c r="D826" s="8"/>
      <c r="E826" s="8"/>
      <c r="F826" s="129"/>
      <c r="G826" s="8"/>
      <c r="L826" s="172"/>
    </row>
    <row r="827">
      <c r="B827" s="8"/>
      <c r="C827" s="8"/>
      <c r="D827" s="8"/>
      <c r="E827" s="8"/>
      <c r="F827" s="129"/>
      <c r="G827" s="8"/>
      <c r="L827" s="172"/>
    </row>
    <row r="828">
      <c r="B828" s="8"/>
      <c r="C828" s="8"/>
      <c r="D828" s="8"/>
      <c r="E828" s="8"/>
      <c r="F828" s="129"/>
      <c r="G828" s="8"/>
      <c r="L828" s="172"/>
    </row>
    <row r="829">
      <c r="B829" s="8"/>
      <c r="C829" s="8"/>
      <c r="D829" s="8"/>
      <c r="E829" s="8"/>
      <c r="F829" s="129"/>
      <c r="G829" s="8"/>
      <c r="L829" s="172"/>
    </row>
    <row r="830">
      <c r="B830" s="8"/>
      <c r="C830" s="8"/>
      <c r="D830" s="8"/>
      <c r="E830" s="8"/>
      <c r="F830" s="129"/>
      <c r="G830" s="8"/>
      <c r="L830" s="172"/>
    </row>
    <row r="831">
      <c r="B831" s="8"/>
      <c r="C831" s="8"/>
      <c r="D831" s="8"/>
      <c r="E831" s="8"/>
      <c r="F831" s="129"/>
      <c r="G831" s="8"/>
      <c r="L831" s="172"/>
    </row>
    <row r="832">
      <c r="B832" s="8"/>
      <c r="C832" s="8"/>
      <c r="D832" s="8"/>
      <c r="E832" s="8"/>
      <c r="F832" s="129"/>
      <c r="G832" s="8"/>
      <c r="L832" s="172"/>
    </row>
    <row r="833">
      <c r="B833" s="8"/>
      <c r="C833" s="8"/>
      <c r="D833" s="8"/>
      <c r="E833" s="8"/>
      <c r="F833" s="129"/>
      <c r="G833" s="8"/>
      <c r="L833" s="172"/>
    </row>
    <row r="834">
      <c r="B834" s="8"/>
      <c r="C834" s="8"/>
      <c r="D834" s="8"/>
      <c r="E834" s="8"/>
      <c r="F834" s="129"/>
      <c r="G834" s="8"/>
      <c r="L834" s="172"/>
    </row>
    <row r="835">
      <c r="B835" s="8"/>
      <c r="C835" s="8"/>
      <c r="D835" s="8"/>
      <c r="E835" s="8"/>
      <c r="F835" s="129"/>
      <c r="G835" s="8"/>
      <c r="L835" s="172"/>
    </row>
    <row r="836">
      <c r="B836" s="8"/>
      <c r="C836" s="8"/>
      <c r="D836" s="8"/>
      <c r="E836" s="8"/>
      <c r="F836" s="129"/>
      <c r="G836" s="8"/>
      <c r="L836" s="172"/>
    </row>
    <row r="837">
      <c r="B837" s="8"/>
      <c r="C837" s="8"/>
      <c r="D837" s="8"/>
      <c r="E837" s="8"/>
      <c r="F837" s="129"/>
      <c r="G837" s="8"/>
      <c r="L837" s="172"/>
    </row>
    <row r="838">
      <c r="B838" s="8"/>
      <c r="C838" s="8"/>
      <c r="D838" s="8"/>
      <c r="E838" s="8"/>
      <c r="F838" s="129"/>
      <c r="G838" s="8"/>
      <c r="L838" s="172"/>
    </row>
    <row r="839">
      <c r="B839" s="8"/>
      <c r="C839" s="8"/>
      <c r="D839" s="8"/>
      <c r="E839" s="8"/>
      <c r="F839" s="129"/>
      <c r="G839" s="8"/>
      <c r="L839" s="172"/>
    </row>
    <row r="840">
      <c r="B840" s="8"/>
      <c r="C840" s="8"/>
      <c r="D840" s="8"/>
      <c r="E840" s="8"/>
      <c r="F840" s="129"/>
      <c r="G840" s="8"/>
      <c r="L840" s="172"/>
    </row>
    <row r="841">
      <c r="B841" s="8"/>
      <c r="C841" s="8"/>
      <c r="D841" s="8"/>
      <c r="E841" s="8"/>
      <c r="F841" s="129"/>
      <c r="G841" s="8"/>
      <c r="L841" s="172"/>
    </row>
    <row r="842">
      <c r="B842" s="8"/>
      <c r="C842" s="8"/>
      <c r="D842" s="8"/>
      <c r="E842" s="8"/>
      <c r="F842" s="129"/>
      <c r="G842" s="8"/>
      <c r="L842" s="172"/>
    </row>
    <row r="843">
      <c r="B843" s="8"/>
      <c r="C843" s="8"/>
      <c r="D843" s="8"/>
      <c r="E843" s="8"/>
      <c r="F843" s="129"/>
      <c r="G843" s="8"/>
      <c r="L843" s="172"/>
    </row>
    <row r="844">
      <c r="B844" s="8"/>
      <c r="C844" s="8"/>
      <c r="D844" s="8"/>
      <c r="E844" s="8"/>
      <c r="F844" s="129"/>
      <c r="G844" s="8"/>
      <c r="L844" s="172"/>
    </row>
    <row r="845">
      <c r="B845" s="8"/>
      <c r="C845" s="8"/>
      <c r="D845" s="8"/>
      <c r="E845" s="8"/>
      <c r="F845" s="129"/>
      <c r="G845" s="8"/>
      <c r="L845" s="172"/>
    </row>
    <row r="846">
      <c r="B846" s="8"/>
      <c r="C846" s="8"/>
      <c r="D846" s="8"/>
      <c r="E846" s="8"/>
      <c r="F846" s="129"/>
      <c r="G846" s="8"/>
      <c r="L846" s="172"/>
    </row>
    <row r="847">
      <c r="B847" s="8"/>
      <c r="C847" s="8"/>
      <c r="D847" s="8"/>
      <c r="E847" s="8"/>
      <c r="F847" s="129"/>
      <c r="G847" s="8"/>
      <c r="L847" s="172"/>
    </row>
    <row r="848">
      <c r="B848" s="8"/>
      <c r="C848" s="8"/>
      <c r="D848" s="8"/>
      <c r="E848" s="8"/>
      <c r="F848" s="129"/>
      <c r="G848" s="8"/>
      <c r="L848" s="172"/>
    </row>
    <row r="849">
      <c r="B849" s="8"/>
      <c r="C849" s="8"/>
      <c r="D849" s="8"/>
      <c r="E849" s="8"/>
      <c r="F849" s="129"/>
      <c r="G849" s="8"/>
      <c r="L849" s="172"/>
    </row>
    <row r="850">
      <c r="B850" s="8"/>
      <c r="C850" s="8"/>
      <c r="D850" s="8"/>
      <c r="E850" s="8"/>
      <c r="F850" s="129"/>
      <c r="G850" s="8"/>
      <c r="L850" s="172"/>
    </row>
    <row r="851">
      <c r="B851" s="8"/>
      <c r="C851" s="8"/>
      <c r="D851" s="8"/>
      <c r="E851" s="8"/>
      <c r="F851" s="129"/>
      <c r="G851" s="8"/>
      <c r="L851" s="172"/>
    </row>
    <row r="852">
      <c r="B852" s="8"/>
      <c r="C852" s="8"/>
      <c r="D852" s="8"/>
      <c r="E852" s="8"/>
      <c r="F852" s="129"/>
      <c r="G852" s="8"/>
      <c r="L852" s="172"/>
    </row>
    <row r="853">
      <c r="B853" s="8"/>
      <c r="C853" s="8"/>
      <c r="D853" s="8"/>
      <c r="E853" s="8"/>
      <c r="F853" s="129"/>
      <c r="G853" s="8"/>
      <c r="L853" s="172"/>
    </row>
    <row r="854">
      <c r="B854" s="8"/>
      <c r="C854" s="8"/>
      <c r="D854" s="8"/>
      <c r="E854" s="8"/>
      <c r="F854" s="129"/>
      <c r="G854" s="8"/>
      <c r="L854" s="172"/>
    </row>
    <row r="855">
      <c r="B855" s="8"/>
      <c r="C855" s="8"/>
      <c r="D855" s="8"/>
      <c r="E855" s="8"/>
      <c r="F855" s="129"/>
      <c r="G855" s="8"/>
      <c r="L855" s="172"/>
    </row>
    <row r="856">
      <c r="B856" s="8"/>
      <c r="C856" s="8"/>
      <c r="D856" s="8"/>
      <c r="E856" s="8"/>
      <c r="F856" s="129"/>
      <c r="G856" s="8"/>
      <c r="L856" s="172"/>
    </row>
    <row r="857">
      <c r="B857" s="8"/>
      <c r="C857" s="8"/>
      <c r="D857" s="8"/>
      <c r="E857" s="8"/>
      <c r="F857" s="129"/>
      <c r="G857" s="8"/>
      <c r="L857" s="172"/>
    </row>
    <row r="858">
      <c r="B858" s="8"/>
      <c r="C858" s="8"/>
      <c r="D858" s="8"/>
      <c r="E858" s="8"/>
      <c r="F858" s="129"/>
      <c r="G858" s="8"/>
      <c r="L858" s="172"/>
    </row>
    <row r="859">
      <c r="B859" s="8"/>
      <c r="C859" s="8"/>
      <c r="D859" s="8"/>
      <c r="E859" s="8"/>
      <c r="F859" s="129"/>
      <c r="G859" s="8"/>
      <c r="L859" s="172"/>
    </row>
    <row r="860">
      <c r="B860" s="8"/>
      <c r="C860" s="8"/>
      <c r="D860" s="8"/>
      <c r="E860" s="8"/>
      <c r="F860" s="129"/>
      <c r="G860" s="8"/>
      <c r="L860" s="172"/>
    </row>
    <row r="861">
      <c r="B861" s="8"/>
      <c r="C861" s="8"/>
      <c r="D861" s="8"/>
      <c r="E861" s="8"/>
      <c r="F861" s="129"/>
      <c r="G861" s="8"/>
      <c r="L861" s="172"/>
    </row>
    <row r="862">
      <c r="B862" s="8"/>
      <c r="C862" s="8"/>
      <c r="D862" s="8"/>
      <c r="E862" s="8"/>
      <c r="F862" s="129"/>
      <c r="G862" s="8"/>
      <c r="L862" s="172"/>
    </row>
    <row r="863">
      <c r="B863" s="8"/>
      <c r="C863" s="8"/>
      <c r="D863" s="8"/>
      <c r="E863" s="8"/>
      <c r="F863" s="129"/>
      <c r="G863" s="8"/>
      <c r="L863" s="172"/>
    </row>
    <row r="864">
      <c r="B864" s="8"/>
      <c r="C864" s="8"/>
      <c r="D864" s="8"/>
      <c r="E864" s="8"/>
      <c r="F864" s="129"/>
      <c r="G864" s="8"/>
      <c r="L864" s="172"/>
    </row>
    <row r="865">
      <c r="B865" s="8"/>
      <c r="C865" s="8"/>
      <c r="D865" s="8"/>
      <c r="E865" s="8"/>
      <c r="F865" s="129"/>
      <c r="G865" s="8"/>
      <c r="L865" s="172"/>
    </row>
    <row r="866">
      <c r="B866" s="8"/>
      <c r="C866" s="8"/>
      <c r="D866" s="8"/>
      <c r="E866" s="8"/>
      <c r="F866" s="129"/>
      <c r="G866" s="8"/>
      <c r="L866" s="172"/>
    </row>
    <row r="867">
      <c r="B867" s="8"/>
      <c r="C867" s="8"/>
      <c r="D867" s="8"/>
      <c r="E867" s="8"/>
      <c r="F867" s="129"/>
      <c r="G867" s="8"/>
      <c r="L867" s="172"/>
    </row>
    <row r="868">
      <c r="B868" s="8"/>
      <c r="C868" s="8"/>
      <c r="D868" s="8"/>
      <c r="E868" s="8"/>
      <c r="F868" s="129"/>
      <c r="G868" s="8"/>
      <c r="L868" s="172"/>
    </row>
    <row r="869">
      <c r="B869" s="8"/>
      <c r="C869" s="8"/>
      <c r="D869" s="8"/>
      <c r="E869" s="8"/>
      <c r="F869" s="129"/>
      <c r="G869" s="8"/>
      <c r="L869" s="172"/>
    </row>
    <row r="870">
      <c r="B870" s="8"/>
      <c r="C870" s="8"/>
      <c r="D870" s="8"/>
      <c r="E870" s="8"/>
      <c r="F870" s="129"/>
      <c r="G870" s="8"/>
      <c r="L870" s="172"/>
    </row>
    <row r="871">
      <c r="B871" s="8"/>
      <c r="C871" s="8"/>
      <c r="D871" s="8"/>
      <c r="E871" s="8"/>
      <c r="F871" s="129"/>
      <c r="G871" s="8"/>
      <c r="L871" s="172"/>
    </row>
    <row r="872">
      <c r="B872" s="8"/>
      <c r="C872" s="8"/>
      <c r="D872" s="8"/>
      <c r="E872" s="8"/>
      <c r="F872" s="129"/>
      <c r="G872" s="8"/>
      <c r="L872" s="172"/>
    </row>
    <row r="873">
      <c r="B873" s="8"/>
      <c r="C873" s="8"/>
      <c r="D873" s="8"/>
      <c r="E873" s="8"/>
      <c r="F873" s="129"/>
      <c r="G873" s="8"/>
      <c r="L873" s="172"/>
    </row>
    <row r="874">
      <c r="B874" s="8"/>
      <c r="C874" s="8"/>
      <c r="D874" s="8"/>
      <c r="E874" s="8"/>
      <c r="F874" s="129"/>
      <c r="G874" s="8"/>
      <c r="L874" s="172"/>
    </row>
    <row r="875">
      <c r="B875" s="8"/>
      <c r="C875" s="8"/>
      <c r="D875" s="8"/>
      <c r="E875" s="8"/>
      <c r="F875" s="129"/>
      <c r="G875" s="8"/>
      <c r="L875" s="172"/>
    </row>
    <row r="876">
      <c r="B876" s="8"/>
      <c r="C876" s="8"/>
      <c r="D876" s="8"/>
      <c r="E876" s="8"/>
      <c r="F876" s="129"/>
      <c r="G876" s="8"/>
      <c r="L876" s="172"/>
    </row>
    <row r="877">
      <c r="B877" s="8"/>
      <c r="C877" s="8"/>
      <c r="D877" s="8"/>
      <c r="E877" s="8"/>
      <c r="F877" s="129"/>
      <c r="G877" s="8"/>
      <c r="L877" s="172"/>
    </row>
    <row r="878">
      <c r="B878" s="8"/>
      <c r="C878" s="8"/>
      <c r="D878" s="8"/>
      <c r="E878" s="8"/>
      <c r="F878" s="129"/>
      <c r="G878" s="8"/>
      <c r="L878" s="172"/>
    </row>
    <row r="879">
      <c r="B879" s="8"/>
      <c r="C879" s="8"/>
      <c r="D879" s="8"/>
      <c r="E879" s="8"/>
      <c r="F879" s="129"/>
      <c r="G879" s="8"/>
      <c r="L879" s="172"/>
    </row>
    <row r="880">
      <c r="B880" s="8"/>
      <c r="C880" s="8"/>
      <c r="D880" s="8"/>
      <c r="E880" s="8"/>
      <c r="F880" s="129"/>
      <c r="G880" s="8"/>
      <c r="L880" s="172"/>
    </row>
    <row r="881">
      <c r="B881" s="8"/>
      <c r="C881" s="8"/>
      <c r="D881" s="8"/>
      <c r="E881" s="8"/>
      <c r="F881" s="129"/>
      <c r="G881" s="8"/>
      <c r="L881" s="172"/>
    </row>
    <row r="882">
      <c r="B882" s="8"/>
      <c r="C882" s="8"/>
      <c r="D882" s="8"/>
      <c r="E882" s="8"/>
      <c r="F882" s="129"/>
      <c r="G882" s="8"/>
      <c r="L882" s="172"/>
    </row>
    <row r="883">
      <c r="B883" s="8"/>
      <c r="C883" s="8"/>
      <c r="D883" s="8"/>
      <c r="E883" s="8"/>
      <c r="F883" s="129"/>
      <c r="G883" s="8"/>
      <c r="L883" s="172"/>
    </row>
    <row r="884">
      <c r="B884" s="8"/>
      <c r="C884" s="8"/>
      <c r="D884" s="8"/>
      <c r="E884" s="8"/>
      <c r="F884" s="129"/>
      <c r="G884" s="8"/>
      <c r="L884" s="172"/>
    </row>
    <row r="885">
      <c r="B885" s="8"/>
      <c r="C885" s="8"/>
      <c r="D885" s="8"/>
      <c r="E885" s="8"/>
      <c r="F885" s="129"/>
      <c r="G885" s="8"/>
      <c r="L885" s="172"/>
    </row>
    <row r="886">
      <c r="B886" s="8"/>
      <c r="C886" s="8"/>
      <c r="D886" s="8"/>
      <c r="E886" s="8"/>
      <c r="F886" s="129"/>
      <c r="G886" s="8"/>
      <c r="L886" s="172"/>
    </row>
    <row r="887">
      <c r="B887" s="8"/>
      <c r="C887" s="8"/>
      <c r="D887" s="8"/>
      <c r="E887" s="8"/>
      <c r="F887" s="129"/>
      <c r="G887" s="8"/>
      <c r="L887" s="172"/>
    </row>
    <row r="888">
      <c r="B888" s="8"/>
      <c r="C888" s="8"/>
      <c r="D888" s="8"/>
      <c r="E888" s="8"/>
      <c r="F888" s="129"/>
      <c r="G888" s="8"/>
      <c r="L888" s="172"/>
    </row>
    <row r="889">
      <c r="B889" s="8"/>
      <c r="C889" s="8"/>
      <c r="D889" s="8"/>
      <c r="E889" s="8"/>
      <c r="F889" s="129"/>
      <c r="G889" s="8"/>
      <c r="L889" s="172"/>
    </row>
    <row r="890">
      <c r="B890" s="8"/>
      <c r="C890" s="8"/>
      <c r="D890" s="8"/>
      <c r="E890" s="8"/>
      <c r="F890" s="129"/>
      <c r="G890" s="8"/>
      <c r="L890" s="172"/>
    </row>
    <row r="891">
      <c r="B891" s="8"/>
      <c r="C891" s="8"/>
      <c r="D891" s="8"/>
      <c r="E891" s="8"/>
      <c r="F891" s="129"/>
      <c r="G891" s="8"/>
      <c r="L891" s="172"/>
    </row>
    <row r="892">
      <c r="B892" s="8"/>
      <c r="C892" s="8"/>
      <c r="D892" s="8"/>
      <c r="E892" s="8"/>
      <c r="F892" s="129"/>
      <c r="G892" s="8"/>
      <c r="L892" s="172"/>
    </row>
    <row r="893">
      <c r="B893" s="8"/>
      <c r="C893" s="8"/>
      <c r="D893" s="8"/>
      <c r="E893" s="8"/>
      <c r="F893" s="129"/>
      <c r="G893" s="8"/>
      <c r="L893" s="172"/>
    </row>
    <row r="894">
      <c r="B894" s="8"/>
      <c r="C894" s="8"/>
      <c r="D894" s="8"/>
      <c r="E894" s="8"/>
      <c r="F894" s="129"/>
      <c r="G894" s="8"/>
      <c r="L894" s="172"/>
    </row>
    <row r="895">
      <c r="B895" s="8"/>
      <c r="C895" s="8"/>
      <c r="D895" s="8"/>
      <c r="E895" s="8"/>
      <c r="F895" s="129"/>
      <c r="G895" s="8"/>
      <c r="L895" s="172"/>
    </row>
    <row r="896">
      <c r="B896" s="8"/>
      <c r="C896" s="8"/>
      <c r="D896" s="8"/>
      <c r="E896" s="8"/>
      <c r="F896" s="129"/>
      <c r="G896" s="8"/>
      <c r="L896" s="172"/>
    </row>
    <row r="897">
      <c r="B897" s="8"/>
      <c r="C897" s="8"/>
      <c r="D897" s="8"/>
      <c r="E897" s="8"/>
      <c r="F897" s="129"/>
      <c r="G897" s="8"/>
      <c r="L897" s="172"/>
    </row>
    <row r="898">
      <c r="B898" s="8"/>
      <c r="C898" s="8"/>
      <c r="D898" s="8"/>
      <c r="E898" s="8"/>
      <c r="F898" s="129"/>
      <c r="G898" s="8"/>
      <c r="L898" s="172"/>
    </row>
    <row r="899">
      <c r="B899" s="8"/>
      <c r="C899" s="8"/>
      <c r="D899" s="8"/>
      <c r="E899" s="8"/>
      <c r="F899" s="129"/>
      <c r="G899" s="8"/>
      <c r="L899" s="172"/>
    </row>
    <row r="900">
      <c r="B900" s="8"/>
      <c r="C900" s="8"/>
      <c r="D900" s="8"/>
      <c r="E900" s="8"/>
      <c r="F900" s="129"/>
      <c r="G900" s="8"/>
      <c r="L900" s="172"/>
    </row>
    <row r="901">
      <c r="B901" s="8"/>
      <c r="C901" s="8"/>
      <c r="D901" s="8"/>
      <c r="E901" s="8"/>
      <c r="F901" s="129"/>
      <c r="G901" s="8"/>
      <c r="L901" s="172"/>
    </row>
    <row r="902">
      <c r="B902" s="8"/>
      <c r="C902" s="8"/>
      <c r="D902" s="8"/>
      <c r="E902" s="8"/>
      <c r="F902" s="129"/>
      <c r="G902" s="8"/>
      <c r="L902" s="172"/>
    </row>
    <row r="903">
      <c r="B903" s="8"/>
      <c r="C903" s="8"/>
      <c r="D903" s="8"/>
      <c r="E903" s="8"/>
      <c r="F903" s="129"/>
      <c r="G903" s="8"/>
      <c r="L903" s="172"/>
    </row>
    <row r="904">
      <c r="B904" s="8"/>
      <c r="C904" s="8"/>
      <c r="D904" s="8"/>
      <c r="E904" s="8"/>
      <c r="F904" s="129"/>
      <c r="G904" s="8"/>
      <c r="L904" s="172"/>
    </row>
    <row r="905">
      <c r="B905" s="8"/>
      <c r="C905" s="8"/>
      <c r="D905" s="8"/>
      <c r="E905" s="8"/>
      <c r="F905" s="129"/>
      <c r="G905" s="8"/>
      <c r="L905" s="172"/>
    </row>
    <row r="906">
      <c r="B906" s="8"/>
      <c r="C906" s="8"/>
      <c r="D906" s="8"/>
      <c r="E906" s="8"/>
      <c r="F906" s="129"/>
      <c r="G906" s="8"/>
      <c r="L906" s="172"/>
    </row>
    <row r="907">
      <c r="B907" s="8"/>
      <c r="C907" s="8"/>
      <c r="D907" s="8"/>
      <c r="E907" s="8"/>
      <c r="F907" s="129"/>
      <c r="G907" s="8"/>
      <c r="L907" s="172"/>
    </row>
    <row r="908">
      <c r="B908" s="8"/>
      <c r="C908" s="8"/>
      <c r="D908" s="8"/>
      <c r="E908" s="8"/>
      <c r="F908" s="129"/>
      <c r="G908" s="8"/>
      <c r="L908" s="172"/>
    </row>
    <row r="909">
      <c r="B909" s="8"/>
      <c r="C909" s="8"/>
      <c r="D909" s="8"/>
      <c r="E909" s="8"/>
      <c r="F909" s="129"/>
      <c r="G909" s="8"/>
      <c r="L909" s="172"/>
    </row>
    <row r="910">
      <c r="B910" s="8"/>
      <c r="C910" s="8"/>
      <c r="D910" s="8"/>
      <c r="E910" s="8"/>
      <c r="F910" s="129"/>
      <c r="G910" s="8"/>
      <c r="L910" s="172"/>
    </row>
    <row r="911">
      <c r="B911" s="8"/>
      <c r="C911" s="8"/>
      <c r="D911" s="8"/>
      <c r="E911" s="8"/>
      <c r="F911" s="129"/>
      <c r="G911" s="8"/>
      <c r="L911" s="172"/>
    </row>
    <row r="912">
      <c r="B912" s="8"/>
      <c r="C912" s="8"/>
      <c r="D912" s="8"/>
      <c r="E912" s="8"/>
      <c r="F912" s="129"/>
      <c r="G912" s="8"/>
      <c r="L912" s="172"/>
    </row>
    <row r="913">
      <c r="B913" s="8"/>
      <c r="C913" s="8"/>
      <c r="D913" s="8"/>
      <c r="E913" s="8"/>
      <c r="F913" s="129"/>
      <c r="G913" s="8"/>
      <c r="L913" s="172"/>
    </row>
    <row r="914">
      <c r="B914" s="8"/>
      <c r="C914" s="8"/>
      <c r="D914" s="8"/>
      <c r="E914" s="8"/>
      <c r="F914" s="129"/>
      <c r="G914" s="8"/>
      <c r="L914" s="172"/>
    </row>
    <row r="915">
      <c r="B915" s="8"/>
      <c r="C915" s="8"/>
      <c r="D915" s="8"/>
      <c r="E915" s="8"/>
      <c r="F915" s="129"/>
      <c r="G915" s="8"/>
      <c r="L915" s="172"/>
    </row>
    <row r="916">
      <c r="B916" s="8"/>
      <c r="C916" s="8"/>
      <c r="D916" s="8"/>
      <c r="E916" s="8"/>
      <c r="F916" s="129"/>
      <c r="G916" s="8"/>
      <c r="L916" s="172"/>
    </row>
    <row r="917">
      <c r="B917" s="8"/>
      <c r="C917" s="8"/>
      <c r="D917" s="8"/>
      <c r="E917" s="8"/>
      <c r="F917" s="129"/>
      <c r="G917" s="8"/>
      <c r="L917" s="172"/>
    </row>
    <row r="918">
      <c r="B918" s="8"/>
      <c r="C918" s="8"/>
      <c r="D918" s="8"/>
      <c r="E918" s="8"/>
      <c r="F918" s="129"/>
      <c r="G918" s="8"/>
      <c r="L918" s="172"/>
    </row>
    <row r="919">
      <c r="B919" s="8"/>
      <c r="C919" s="8"/>
      <c r="D919" s="8"/>
      <c r="E919" s="8"/>
      <c r="F919" s="129"/>
      <c r="G919" s="8"/>
      <c r="L919" s="172"/>
    </row>
    <row r="920">
      <c r="B920" s="8"/>
      <c r="C920" s="8"/>
      <c r="D920" s="8"/>
      <c r="E920" s="8"/>
      <c r="F920" s="129"/>
      <c r="G920" s="8"/>
      <c r="L920" s="172"/>
    </row>
    <row r="921">
      <c r="B921" s="8"/>
      <c r="C921" s="8"/>
      <c r="D921" s="8"/>
      <c r="E921" s="8"/>
      <c r="F921" s="129"/>
      <c r="G921" s="8"/>
      <c r="L921" s="172"/>
    </row>
    <row r="922">
      <c r="B922" s="8"/>
      <c r="C922" s="8"/>
      <c r="D922" s="8"/>
      <c r="E922" s="8"/>
      <c r="F922" s="129"/>
      <c r="G922" s="8"/>
      <c r="L922" s="172"/>
    </row>
    <row r="923">
      <c r="B923" s="8"/>
      <c r="C923" s="8"/>
      <c r="D923" s="8"/>
      <c r="E923" s="8"/>
      <c r="F923" s="129"/>
      <c r="G923" s="8"/>
      <c r="L923" s="172"/>
    </row>
    <row r="924">
      <c r="B924" s="8"/>
      <c r="C924" s="8"/>
      <c r="D924" s="8"/>
      <c r="E924" s="8"/>
      <c r="F924" s="129"/>
      <c r="G924" s="8"/>
      <c r="L924" s="172"/>
    </row>
    <row r="925">
      <c r="B925" s="8"/>
      <c r="C925" s="8"/>
      <c r="D925" s="8"/>
      <c r="E925" s="8"/>
      <c r="F925" s="129"/>
      <c r="G925" s="8"/>
      <c r="L925" s="172"/>
    </row>
    <row r="926">
      <c r="B926" s="8"/>
      <c r="C926" s="8"/>
      <c r="D926" s="8"/>
      <c r="E926" s="8"/>
      <c r="F926" s="129"/>
      <c r="G926" s="8"/>
      <c r="L926" s="172"/>
    </row>
    <row r="927">
      <c r="B927" s="8"/>
      <c r="C927" s="8"/>
      <c r="D927" s="8"/>
      <c r="E927" s="8"/>
      <c r="F927" s="129"/>
      <c r="G927" s="8"/>
      <c r="L927" s="172"/>
    </row>
    <row r="928">
      <c r="B928" s="8"/>
      <c r="C928" s="8"/>
      <c r="D928" s="8"/>
      <c r="E928" s="8"/>
      <c r="F928" s="129"/>
      <c r="G928" s="8"/>
      <c r="L928" s="172"/>
    </row>
    <row r="929">
      <c r="B929" s="8"/>
      <c r="C929" s="8"/>
      <c r="D929" s="8"/>
      <c r="E929" s="8"/>
      <c r="F929" s="129"/>
      <c r="G929" s="8"/>
      <c r="L929" s="172"/>
    </row>
    <row r="930">
      <c r="B930" s="8"/>
      <c r="C930" s="8"/>
      <c r="D930" s="8"/>
      <c r="E930" s="8"/>
      <c r="F930" s="129"/>
      <c r="G930" s="8"/>
      <c r="L930" s="172"/>
    </row>
    <row r="931">
      <c r="B931" s="8"/>
      <c r="C931" s="8"/>
      <c r="D931" s="8"/>
      <c r="E931" s="8"/>
      <c r="F931" s="129"/>
      <c r="G931" s="8"/>
      <c r="L931" s="172"/>
    </row>
    <row r="932">
      <c r="B932" s="8"/>
      <c r="C932" s="8"/>
      <c r="D932" s="8"/>
      <c r="E932" s="8"/>
      <c r="F932" s="129"/>
      <c r="G932" s="8"/>
      <c r="L932" s="172"/>
    </row>
    <row r="933">
      <c r="B933" s="8"/>
      <c r="C933" s="8"/>
      <c r="D933" s="8"/>
      <c r="E933" s="8"/>
      <c r="F933" s="129"/>
      <c r="G933" s="8"/>
      <c r="L933" s="172"/>
    </row>
    <row r="934">
      <c r="B934" s="8"/>
      <c r="C934" s="8"/>
      <c r="D934" s="8"/>
      <c r="E934" s="8"/>
      <c r="F934" s="129"/>
      <c r="G934" s="8"/>
      <c r="L934" s="172"/>
    </row>
    <row r="935">
      <c r="B935" s="8"/>
      <c r="C935" s="8"/>
      <c r="D935" s="8"/>
      <c r="E935" s="8"/>
      <c r="F935" s="129"/>
      <c r="G935" s="8"/>
      <c r="L935" s="172"/>
    </row>
    <row r="936">
      <c r="B936" s="8"/>
      <c r="C936" s="8"/>
      <c r="D936" s="8"/>
      <c r="E936" s="8"/>
      <c r="F936" s="129"/>
      <c r="G936" s="8"/>
      <c r="L936" s="172"/>
    </row>
    <row r="937">
      <c r="B937" s="8"/>
      <c r="C937" s="8"/>
      <c r="D937" s="8"/>
      <c r="E937" s="8"/>
      <c r="F937" s="129"/>
      <c r="G937" s="8"/>
      <c r="L937" s="172"/>
    </row>
    <row r="938">
      <c r="B938" s="8"/>
      <c r="C938" s="8"/>
      <c r="D938" s="8"/>
      <c r="E938" s="8"/>
      <c r="F938" s="129"/>
      <c r="G938" s="8"/>
      <c r="L938" s="172"/>
    </row>
    <row r="939">
      <c r="B939" s="8"/>
      <c r="C939" s="8"/>
      <c r="D939" s="8"/>
      <c r="E939" s="8"/>
      <c r="F939" s="129"/>
      <c r="G939" s="8"/>
      <c r="L939" s="172"/>
    </row>
    <row r="940">
      <c r="B940" s="8"/>
      <c r="C940" s="8"/>
      <c r="D940" s="8"/>
      <c r="E940" s="8"/>
      <c r="F940" s="129"/>
      <c r="G940" s="8"/>
      <c r="L940" s="172"/>
    </row>
    <row r="941">
      <c r="B941" s="8"/>
      <c r="C941" s="8"/>
      <c r="D941" s="8"/>
      <c r="E941" s="8"/>
      <c r="F941" s="129"/>
      <c r="G941" s="8"/>
      <c r="L941" s="172"/>
    </row>
    <row r="942">
      <c r="B942" s="8"/>
      <c r="C942" s="8"/>
      <c r="D942" s="8"/>
      <c r="E942" s="8"/>
      <c r="F942" s="129"/>
      <c r="G942" s="8"/>
      <c r="L942" s="172"/>
    </row>
    <row r="943">
      <c r="B943" s="8"/>
      <c r="C943" s="8"/>
      <c r="D943" s="8"/>
      <c r="E943" s="8"/>
      <c r="F943" s="129"/>
      <c r="G943" s="8"/>
      <c r="L943" s="172"/>
    </row>
    <row r="944">
      <c r="B944" s="8"/>
      <c r="C944" s="8"/>
      <c r="D944" s="8"/>
      <c r="E944" s="8"/>
      <c r="F944" s="129"/>
      <c r="G944" s="8"/>
      <c r="L944" s="172"/>
    </row>
    <row r="945">
      <c r="B945" s="8"/>
      <c r="C945" s="8"/>
      <c r="D945" s="8"/>
      <c r="E945" s="8"/>
      <c r="F945" s="129"/>
      <c r="G945" s="8"/>
      <c r="L945" s="172"/>
    </row>
    <row r="946">
      <c r="B946" s="8"/>
      <c r="C946" s="8"/>
      <c r="D946" s="8"/>
      <c r="E946" s="8"/>
      <c r="F946" s="129"/>
      <c r="G946" s="8"/>
      <c r="L946" s="172"/>
    </row>
    <row r="947">
      <c r="B947" s="8"/>
      <c r="C947" s="8"/>
      <c r="D947" s="8"/>
      <c r="E947" s="8"/>
      <c r="F947" s="129"/>
      <c r="G947" s="8"/>
      <c r="L947" s="172"/>
    </row>
    <row r="948">
      <c r="B948" s="8"/>
      <c r="C948" s="8"/>
      <c r="D948" s="8"/>
      <c r="E948" s="8"/>
      <c r="F948" s="129"/>
      <c r="G948" s="8"/>
      <c r="L948" s="172"/>
    </row>
    <row r="949">
      <c r="B949" s="8"/>
      <c r="C949" s="8"/>
      <c r="D949" s="8"/>
      <c r="E949" s="8"/>
      <c r="F949" s="129"/>
      <c r="G949" s="8"/>
      <c r="L949" s="172"/>
    </row>
    <row r="950">
      <c r="B950" s="8"/>
      <c r="C950" s="8"/>
      <c r="D950" s="8"/>
      <c r="E950" s="8"/>
      <c r="F950" s="129"/>
      <c r="G950" s="8"/>
      <c r="L950" s="172"/>
    </row>
    <row r="951">
      <c r="B951" s="8"/>
      <c r="C951" s="8"/>
      <c r="D951" s="8"/>
      <c r="E951" s="8"/>
      <c r="F951" s="129"/>
      <c r="G951" s="8"/>
      <c r="L951" s="172"/>
    </row>
    <row r="952">
      <c r="B952" s="8"/>
      <c r="C952" s="8"/>
      <c r="D952" s="8"/>
      <c r="E952" s="8"/>
      <c r="F952" s="129"/>
      <c r="G952" s="8"/>
      <c r="L952" s="172"/>
    </row>
    <row r="953">
      <c r="B953" s="8"/>
      <c r="C953" s="8"/>
      <c r="D953" s="8"/>
      <c r="E953" s="8"/>
      <c r="F953" s="129"/>
      <c r="G953" s="8"/>
      <c r="L953" s="172"/>
    </row>
    <row r="954">
      <c r="B954" s="8"/>
      <c r="C954" s="8"/>
      <c r="D954" s="8"/>
      <c r="E954" s="8"/>
      <c r="F954" s="129"/>
      <c r="G954" s="8"/>
      <c r="L954" s="172"/>
    </row>
    <row r="955">
      <c r="B955" s="8"/>
      <c r="C955" s="8"/>
      <c r="D955" s="8"/>
      <c r="E955" s="8"/>
      <c r="F955" s="129"/>
      <c r="G955" s="8"/>
      <c r="L955" s="172"/>
    </row>
    <row r="956">
      <c r="B956" s="8"/>
      <c r="C956" s="8"/>
      <c r="D956" s="8"/>
      <c r="E956" s="8"/>
      <c r="F956" s="129"/>
      <c r="G956" s="8"/>
      <c r="L956" s="172"/>
    </row>
    <row r="957">
      <c r="B957" s="8"/>
      <c r="C957" s="8"/>
      <c r="D957" s="8"/>
      <c r="E957" s="8"/>
      <c r="F957" s="129"/>
      <c r="G957" s="8"/>
      <c r="L957" s="172"/>
    </row>
    <row r="958">
      <c r="B958" s="8"/>
      <c r="C958" s="8"/>
      <c r="D958" s="8"/>
      <c r="E958" s="8"/>
      <c r="F958" s="129"/>
      <c r="G958" s="8"/>
      <c r="L958" s="172"/>
    </row>
    <row r="959">
      <c r="B959" s="8"/>
      <c r="C959" s="8"/>
      <c r="D959" s="8"/>
      <c r="E959" s="8"/>
      <c r="F959" s="129"/>
      <c r="G959" s="8"/>
      <c r="L959" s="172"/>
    </row>
    <row r="960">
      <c r="B960" s="8"/>
      <c r="C960" s="8"/>
      <c r="D960" s="8"/>
      <c r="E960" s="8"/>
      <c r="F960" s="129"/>
      <c r="G960" s="8"/>
      <c r="L960" s="172"/>
    </row>
    <row r="961">
      <c r="B961" s="8"/>
      <c r="C961" s="8"/>
      <c r="D961" s="8"/>
      <c r="E961" s="8"/>
      <c r="F961" s="129"/>
      <c r="G961" s="8"/>
      <c r="L961" s="172"/>
    </row>
    <row r="962">
      <c r="B962" s="8"/>
      <c r="C962" s="8"/>
      <c r="D962" s="8"/>
      <c r="E962" s="8"/>
      <c r="F962" s="129"/>
      <c r="G962" s="8"/>
      <c r="L962" s="172"/>
    </row>
    <row r="963">
      <c r="B963" s="8"/>
      <c r="C963" s="8"/>
      <c r="D963" s="8"/>
      <c r="E963" s="8"/>
      <c r="F963" s="129"/>
      <c r="G963" s="8"/>
      <c r="L963" s="172"/>
    </row>
    <row r="964">
      <c r="B964" s="8"/>
      <c r="C964" s="8"/>
      <c r="D964" s="8"/>
      <c r="E964" s="8"/>
      <c r="F964" s="129"/>
      <c r="G964" s="8"/>
      <c r="L964" s="172"/>
    </row>
    <row r="965">
      <c r="B965" s="8"/>
      <c r="C965" s="8"/>
      <c r="D965" s="8"/>
      <c r="E965" s="8"/>
      <c r="F965" s="129"/>
      <c r="G965" s="8"/>
      <c r="L965" s="172"/>
    </row>
    <row r="966">
      <c r="B966" s="8"/>
      <c r="C966" s="8"/>
      <c r="D966" s="8"/>
      <c r="E966" s="8"/>
      <c r="F966" s="129"/>
      <c r="G966" s="8"/>
      <c r="L966" s="172"/>
    </row>
    <row r="967">
      <c r="B967" s="8"/>
      <c r="C967" s="8"/>
      <c r="D967" s="8"/>
      <c r="E967" s="8"/>
      <c r="F967" s="129"/>
      <c r="G967" s="8"/>
      <c r="L967" s="172"/>
    </row>
    <row r="968">
      <c r="B968" s="8"/>
      <c r="C968" s="8"/>
      <c r="D968" s="8"/>
      <c r="E968" s="8"/>
      <c r="F968" s="129"/>
      <c r="G968" s="8"/>
      <c r="L968" s="172"/>
    </row>
    <row r="969">
      <c r="B969" s="8"/>
      <c r="C969" s="8"/>
      <c r="D969" s="8"/>
      <c r="E969" s="8"/>
      <c r="F969" s="129"/>
      <c r="G969" s="8"/>
      <c r="L969" s="172"/>
    </row>
    <row r="970">
      <c r="B970" s="8"/>
      <c r="C970" s="8"/>
      <c r="D970" s="8"/>
      <c r="E970" s="8"/>
      <c r="F970" s="129"/>
      <c r="G970" s="8"/>
      <c r="L970" s="172"/>
    </row>
    <row r="971">
      <c r="B971" s="8"/>
      <c r="C971" s="8"/>
      <c r="D971" s="8"/>
      <c r="E971" s="8"/>
      <c r="F971" s="129"/>
      <c r="G971" s="8"/>
      <c r="L971" s="172"/>
    </row>
    <row r="972">
      <c r="B972" s="8"/>
      <c r="C972" s="8"/>
      <c r="D972" s="8"/>
      <c r="E972" s="8"/>
      <c r="F972" s="129"/>
      <c r="G972" s="8"/>
      <c r="L972" s="172"/>
    </row>
    <row r="973">
      <c r="B973" s="8"/>
      <c r="C973" s="8"/>
      <c r="D973" s="8"/>
      <c r="E973" s="8"/>
      <c r="F973" s="129"/>
      <c r="G973" s="8"/>
      <c r="L973" s="172"/>
    </row>
    <row r="974">
      <c r="B974" s="8"/>
      <c r="C974" s="8"/>
      <c r="D974" s="8"/>
      <c r="E974" s="8"/>
      <c r="F974" s="129"/>
      <c r="G974" s="8"/>
      <c r="L974" s="172"/>
    </row>
    <row r="975">
      <c r="B975" s="8"/>
      <c r="C975" s="8"/>
      <c r="D975" s="8"/>
      <c r="E975" s="8"/>
      <c r="F975" s="129"/>
      <c r="G975" s="8"/>
      <c r="L975" s="172"/>
    </row>
    <row r="976">
      <c r="B976" s="8"/>
      <c r="C976" s="8"/>
      <c r="D976" s="8"/>
      <c r="E976" s="8"/>
      <c r="F976" s="129"/>
      <c r="G976" s="8"/>
      <c r="L976" s="172"/>
    </row>
    <row r="977">
      <c r="B977" s="8"/>
      <c r="C977" s="8"/>
      <c r="D977" s="8"/>
      <c r="E977" s="8"/>
      <c r="F977" s="129"/>
      <c r="G977" s="8"/>
      <c r="L977" s="172"/>
    </row>
    <row r="978">
      <c r="B978" s="8"/>
      <c r="C978" s="8"/>
      <c r="D978" s="8"/>
      <c r="E978" s="8"/>
      <c r="F978" s="129"/>
      <c r="G978" s="8"/>
      <c r="L978" s="172"/>
    </row>
    <row r="979">
      <c r="B979" s="8"/>
      <c r="C979" s="8"/>
      <c r="D979" s="8"/>
      <c r="E979" s="8"/>
      <c r="F979" s="129"/>
      <c r="G979" s="8"/>
      <c r="L979" s="172"/>
    </row>
    <row r="980">
      <c r="B980" s="8"/>
      <c r="C980" s="8"/>
      <c r="D980" s="8"/>
      <c r="E980" s="8"/>
      <c r="F980" s="129"/>
      <c r="G980" s="8"/>
      <c r="L980" s="172"/>
    </row>
    <row r="981">
      <c r="B981" s="8"/>
      <c r="C981" s="8"/>
      <c r="D981" s="8"/>
      <c r="E981" s="8"/>
      <c r="F981" s="129"/>
      <c r="G981" s="8"/>
      <c r="L981" s="172"/>
    </row>
    <row r="982">
      <c r="B982" s="8"/>
      <c r="C982" s="8"/>
      <c r="D982" s="8"/>
      <c r="E982" s="8"/>
      <c r="F982" s="129"/>
      <c r="G982" s="8"/>
      <c r="L982" s="172"/>
    </row>
    <row r="983">
      <c r="B983" s="8"/>
      <c r="C983" s="8"/>
      <c r="D983" s="8"/>
      <c r="E983" s="8"/>
      <c r="F983" s="129"/>
      <c r="G983" s="8"/>
      <c r="L983" s="172"/>
    </row>
    <row r="984">
      <c r="B984" s="8"/>
      <c r="C984" s="8"/>
      <c r="D984" s="8"/>
      <c r="E984" s="8"/>
      <c r="F984" s="129"/>
      <c r="G984" s="8"/>
      <c r="L984" s="172"/>
    </row>
    <row r="985">
      <c r="B985" s="8"/>
      <c r="C985" s="8"/>
      <c r="D985" s="8"/>
      <c r="E985" s="8"/>
      <c r="F985" s="129"/>
      <c r="G985" s="8"/>
      <c r="L985" s="172"/>
    </row>
    <row r="986">
      <c r="B986" s="8"/>
      <c r="C986" s="8"/>
      <c r="D986" s="8"/>
      <c r="E986" s="8"/>
      <c r="F986" s="129"/>
      <c r="G986" s="8"/>
      <c r="L986" s="172"/>
    </row>
    <row r="987">
      <c r="B987" s="8"/>
      <c r="C987" s="8"/>
      <c r="D987" s="8"/>
      <c r="E987" s="8"/>
      <c r="F987" s="129"/>
      <c r="G987" s="8"/>
      <c r="L987" s="172"/>
    </row>
    <row r="988">
      <c r="B988" s="8"/>
      <c r="C988" s="8"/>
      <c r="D988" s="8"/>
      <c r="E988" s="8"/>
      <c r="F988" s="129"/>
      <c r="G988" s="8"/>
      <c r="L988" s="172"/>
    </row>
    <row r="989">
      <c r="B989" s="8"/>
      <c r="C989" s="8"/>
      <c r="D989" s="8"/>
      <c r="E989" s="8"/>
      <c r="F989" s="129"/>
      <c r="G989" s="8"/>
      <c r="L989" s="172"/>
    </row>
    <row r="990">
      <c r="B990" s="8"/>
      <c r="C990" s="8"/>
      <c r="D990" s="8"/>
      <c r="E990" s="8"/>
      <c r="F990" s="129"/>
      <c r="G990" s="8"/>
      <c r="L990" s="172"/>
    </row>
    <row r="991">
      <c r="B991" s="8"/>
      <c r="C991" s="8"/>
      <c r="D991" s="8"/>
      <c r="E991" s="8"/>
      <c r="F991" s="129"/>
      <c r="G991" s="8"/>
      <c r="L991" s="172"/>
    </row>
    <row r="992">
      <c r="B992" s="8"/>
      <c r="C992" s="8"/>
      <c r="D992" s="8"/>
      <c r="E992" s="8"/>
      <c r="F992" s="129"/>
      <c r="G992" s="8"/>
      <c r="L992" s="172"/>
    </row>
    <row r="993">
      <c r="B993" s="8"/>
      <c r="C993" s="8"/>
      <c r="D993" s="8"/>
      <c r="E993" s="8"/>
      <c r="F993" s="129"/>
      <c r="G993" s="8"/>
      <c r="L993" s="172"/>
    </row>
    <row r="994">
      <c r="B994" s="8"/>
      <c r="C994" s="8"/>
      <c r="D994" s="8"/>
      <c r="E994" s="8"/>
      <c r="F994" s="129"/>
      <c r="G994" s="8"/>
      <c r="L994" s="172"/>
    </row>
    <row r="995">
      <c r="B995" s="8"/>
      <c r="C995" s="8"/>
      <c r="D995" s="8"/>
      <c r="E995" s="8"/>
      <c r="F995" s="129"/>
      <c r="G995" s="8"/>
      <c r="L995" s="172"/>
    </row>
    <row r="996">
      <c r="B996" s="8"/>
      <c r="C996" s="8"/>
      <c r="D996" s="8"/>
      <c r="E996" s="8"/>
      <c r="F996" s="129"/>
      <c r="G996" s="8"/>
      <c r="L996" s="172"/>
    </row>
    <row r="997">
      <c r="B997" s="8"/>
      <c r="C997" s="8"/>
      <c r="D997" s="8"/>
      <c r="E997" s="8"/>
      <c r="F997" s="129"/>
      <c r="G997" s="8"/>
      <c r="L997" s="172"/>
    </row>
    <row r="998">
      <c r="B998" s="8"/>
      <c r="C998" s="8"/>
      <c r="D998" s="8"/>
      <c r="E998" s="8"/>
      <c r="F998" s="129"/>
      <c r="G998" s="8"/>
      <c r="L998" s="172"/>
    </row>
    <row r="999">
      <c r="B999" s="8"/>
      <c r="C999" s="8"/>
      <c r="D999" s="8"/>
      <c r="E999" s="8"/>
      <c r="F999" s="129"/>
      <c r="G999" s="8"/>
      <c r="L999" s="172"/>
    </row>
    <row r="1000">
      <c r="B1000" s="8"/>
      <c r="C1000" s="8"/>
      <c r="D1000" s="8"/>
      <c r="E1000" s="8"/>
      <c r="F1000" s="129"/>
      <c r="G1000" s="8"/>
      <c r="L1000" s="172"/>
    </row>
    <row r="1001">
      <c r="B1001" s="8"/>
      <c r="C1001" s="8"/>
      <c r="D1001" s="8"/>
      <c r="E1001" s="8"/>
      <c r="F1001" s="129"/>
      <c r="G1001" s="8"/>
      <c r="L1001" s="172"/>
    </row>
    <row r="1002">
      <c r="B1002" s="8"/>
      <c r="C1002" s="8"/>
      <c r="D1002" s="8"/>
      <c r="E1002" s="8"/>
      <c r="F1002" s="129"/>
      <c r="G1002" s="8"/>
      <c r="L1002" s="172"/>
    </row>
    <row r="1003">
      <c r="B1003" s="8"/>
      <c r="C1003" s="8"/>
      <c r="D1003" s="8"/>
      <c r="E1003" s="8"/>
      <c r="F1003" s="129"/>
      <c r="G1003" s="8"/>
      <c r="L1003" s="172"/>
    </row>
    <row r="1004">
      <c r="B1004" s="8"/>
      <c r="C1004" s="8"/>
      <c r="D1004" s="8"/>
      <c r="E1004" s="8"/>
      <c r="F1004" s="129"/>
      <c r="G1004" s="8"/>
      <c r="L1004" s="172"/>
    </row>
    <row r="1005">
      <c r="B1005" s="8"/>
      <c r="C1005" s="8"/>
      <c r="D1005" s="8"/>
      <c r="E1005" s="8"/>
      <c r="F1005" s="129"/>
      <c r="G1005" s="8"/>
      <c r="L1005" s="172"/>
    </row>
    <row r="1006">
      <c r="B1006" s="8"/>
      <c r="C1006" s="8"/>
      <c r="D1006" s="8"/>
      <c r="E1006" s="8"/>
      <c r="F1006" s="129"/>
      <c r="G1006" s="8"/>
      <c r="L1006" s="172"/>
    </row>
    <row r="1007">
      <c r="B1007" s="8"/>
      <c r="C1007" s="8"/>
      <c r="D1007" s="8"/>
      <c r="E1007" s="8"/>
      <c r="F1007" s="129"/>
      <c r="G1007" s="8"/>
      <c r="L1007" s="172"/>
    </row>
    <row r="1008">
      <c r="B1008" s="8"/>
      <c r="C1008" s="8"/>
      <c r="D1008" s="8"/>
      <c r="E1008" s="8"/>
      <c r="F1008" s="129"/>
      <c r="G1008" s="8"/>
      <c r="L1008" s="172"/>
    </row>
    <row r="1009">
      <c r="B1009" s="8"/>
      <c r="C1009" s="8"/>
      <c r="D1009" s="8"/>
      <c r="E1009" s="8"/>
      <c r="F1009" s="129"/>
      <c r="G1009" s="8"/>
      <c r="L1009" s="172"/>
    </row>
    <row r="1010">
      <c r="B1010" s="8"/>
      <c r="C1010" s="8"/>
      <c r="D1010" s="8"/>
      <c r="E1010" s="8"/>
      <c r="F1010" s="129"/>
      <c r="G1010" s="8"/>
      <c r="L1010" s="172"/>
    </row>
    <row r="1011">
      <c r="B1011" s="8"/>
      <c r="C1011" s="8"/>
      <c r="D1011" s="8"/>
      <c r="E1011" s="8"/>
      <c r="F1011" s="129"/>
      <c r="G1011" s="8"/>
      <c r="L1011" s="172"/>
    </row>
    <row r="1012">
      <c r="B1012" s="8"/>
      <c r="C1012" s="8"/>
      <c r="D1012" s="8"/>
      <c r="E1012" s="8"/>
      <c r="F1012" s="129"/>
      <c r="G1012" s="8"/>
      <c r="L1012" s="172"/>
    </row>
    <row r="1013">
      <c r="B1013" s="8"/>
      <c r="C1013" s="8"/>
      <c r="D1013" s="8"/>
      <c r="E1013" s="8"/>
      <c r="F1013" s="129"/>
      <c r="G1013" s="8"/>
      <c r="L1013" s="172"/>
    </row>
    <row r="1014">
      <c r="B1014" s="8"/>
      <c r="C1014" s="8"/>
      <c r="D1014" s="8"/>
      <c r="E1014" s="8"/>
      <c r="F1014" s="129"/>
      <c r="G1014" s="8"/>
      <c r="L1014" s="172"/>
    </row>
    <row r="1015">
      <c r="B1015" s="8"/>
      <c r="C1015" s="8"/>
      <c r="D1015" s="8"/>
      <c r="E1015" s="8"/>
      <c r="F1015" s="129"/>
      <c r="G1015" s="8"/>
      <c r="L1015" s="172"/>
    </row>
    <row r="1016">
      <c r="B1016" s="8"/>
      <c r="C1016" s="8"/>
      <c r="D1016" s="8"/>
      <c r="E1016" s="8"/>
      <c r="F1016" s="129"/>
      <c r="G1016" s="8"/>
      <c r="L1016" s="172"/>
    </row>
    <row r="1017">
      <c r="B1017" s="8"/>
      <c r="C1017" s="8"/>
      <c r="D1017" s="8"/>
      <c r="E1017" s="8"/>
      <c r="F1017" s="129"/>
      <c r="G1017" s="8"/>
      <c r="L1017" s="172"/>
    </row>
    <row r="1018">
      <c r="B1018" s="8"/>
      <c r="C1018" s="8"/>
      <c r="D1018" s="8"/>
      <c r="E1018" s="8"/>
      <c r="F1018" s="129"/>
      <c r="G1018" s="8"/>
      <c r="L1018" s="172"/>
    </row>
    <row r="1019">
      <c r="B1019" s="8"/>
      <c r="C1019" s="8"/>
      <c r="D1019" s="8"/>
      <c r="E1019" s="8"/>
      <c r="F1019" s="129"/>
      <c r="G1019" s="8"/>
      <c r="L1019" s="172"/>
    </row>
    <row r="1020">
      <c r="B1020" s="8"/>
      <c r="C1020" s="8"/>
      <c r="D1020" s="8"/>
      <c r="E1020" s="8"/>
      <c r="F1020" s="129"/>
      <c r="G1020" s="8"/>
      <c r="L1020" s="172"/>
    </row>
    <row r="1021">
      <c r="B1021" s="8"/>
      <c r="C1021" s="8"/>
      <c r="D1021" s="8"/>
      <c r="E1021" s="8"/>
      <c r="F1021" s="129"/>
      <c r="G1021" s="8"/>
      <c r="L1021" s="172"/>
    </row>
    <row r="1022">
      <c r="B1022" s="8"/>
      <c r="C1022" s="8"/>
      <c r="D1022" s="8"/>
      <c r="E1022" s="8"/>
      <c r="F1022" s="129"/>
      <c r="G1022" s="8"/>
      <c r="L1022" s="172"/>
    </row>
    <row r="1023">
      <c r="B1023" s="8"/>
      <c r="C1023" s="8"/>
      <c r="D1023" s="8"/>
      <c r="E1023" s="8"/>
      <c r="F1023" s="129"/>
      <c r="G1023" s="8"/>
      <c r="L1023" s="172"/>
    </row>
    <row r="1024">
      <c r="B1024" s="8"/>
      <c r="C1024" s="8"/>
      <c r="D1024" s="8"/>
      <c r="E1024" s="8"/>
      <c r="F1024" s="129"/>
      <c r="G1024" s="8"/>
      <c r="L1024" s="172"/>
    </row>
    <row r="1025">
      <c r="B1025" s="8"/>
      <c r="C1025" s="8"/>
      <c r="D1025" s="8"/>
      <c r="E1025" s="8"/>
      <c r="F1025" s="129"/>
      <c r="G1025" s="8"/>
      <c r="L1025" s="172"/>
    </row>
    <row r="1026">
      <c r="B1026" s="8"/>
      <c r="C1026" s="8"/>
      <c r="D1026" s="8"/>
      <c r="E1026" s="8"/>
      <c r="F1026" s="129"/>
      <c r="G1026" s="8"/>
      <c r="L1026" s="172"/>
    </row>
  </sheetData>
  <mergeCells count="187">
    <mergeCell ref="G7:H7"/>
    <mergeCell ref="G8:H8"/>
    <mergeCell ref="B2:K3"/>
    <mergeCell ref="B5:E5"/>
    <mergeCell ref="G5:H5"/>
    <mergeCell ref="C6:D6"/>
    <mergeCell ref="G6:H6"/>
    <mergeCell ref="C7:D7"/>
    <mergeCell ref="C8:D8"/>
    <mergeCell ref="C12:D12"/>
    <mergeCell ref="C13:D13"/>
    <mergeCell ref="C14:D14"/>
    <mergeCell ref="C15:D15"/>
    <mergeCell ref="C16:D16"/>
    <mergeCell ref="B17:B18"/>
    <mergeCell ref="C17:D17"/>
    <mergeCell ref="C18:D18"/>
    <mergeCell ref="C9:D9"/>
    <mergeCell ref="G9:H9"/>
    <mergeCell ref="C10:D10"/>
    <mergeCell ref="G10:H10"/>
    <mergeCell ref="C11:D11"/>
    <mergeCell ref="G11:H11"/>
    <mergeCell ref="G12:H12"/>
    <mergeCell ref="G13:H13"/>
    <mergeCell ref="G14:H14"/>
    <mergeCell ref="G15:H15"/>
    <mergeCell ref="G16:H16"/>
    <mergeCell ref="G17:H17"/>
    <mergeCell ref="G18:H18"/>
    <mergeCell ref="B20:K21"/>
    <mergeCell ref="G29:H29"/>
    <mergeCell ref="G30:H30"/>
    <mergeCell ref="B24:K25"/>
    <mergeCell ref="B27:E27"/>
    <mergeCell ref="G27:H27"/>
    <mergeCell ref="C28:D28"/>
    <mergeCell ref="G28:H28"/>
    <mergeCell ref="C29:D29"/>
    <mergeCell ref="C30:D30"/>
    <mergeCell ref="C55:D55"/>
    <mergeCell ref="C56:D56"/>
    <mergeCell ref="C57:D57"/>
    <mergeCell ref="C58:D58"/>
    <mergeCell ref="C59:D59"/>
    <mergeCell ref="B60:B61"/>
    <mergeCell ref="C60:D60"/>
    <mergeCell ref="C61:D61"/>
    <mergeCell ref="G56:H56"/>
    <mergeCell ref="G57:H57"/>
    <mergeCell ref="G58:H58"/>
    <mergeCell ref="G59:H59"/>
    <mergeCell ref="G60:H60"/>
    <mergeCell ref="G61:H61"/>
    <mergeCell ref="B63:K64"/>
    <mergeCell ref="G70:H70"/>
    <mergeCell ref="G71:H71"/>
    <mergeCell ref="B65:K66"/>
    <mergeCell ref="B68:E68"/>
    <mergeCell ref="G68:H68"/>
    <mergeCell ref="C69:D69"/>
    <mergeCell ref="G69:H69"/>
    <mergeCell ref="C70:D70"/>
    <mergeCell ref="C71:D71"/>
    <mergeCell ref="C34:D34"/>
    <mergeCell ref="C35:D35"/>
    <mergeCell ref="C36:D36"/>
    <mergeCell ref="C37:D37"/>
    <mergeCell ref="C38:D38"/>
    <mergeCell ref="B39:B40"/>
    <mergeCell ref="C39:D39"/>
    <mergeCell ref="C40:D40"/>
    <mergeCell ref="C31:D31"/>
    <mergeCell ref="G31:H31"/>
    <mergeCell ref="C32:D32"/>
    <mergeCell ref="G32:H32"/>
    <mergeCell ref="C33:D33"/>
    <mergeCell ref="G33:H33"/>
    <mergeCell ref="G34:H34"/>
    <mergeCell ref="G35:H35"/>
    <mergeCell ref="G36:H36"/>
    <mergeCell ref="G37:H37"/>
    <mergeCell ref="G38:H38"/>
    <mergeCell ref="G39:H39"/>
    <mergeCell ref="G40:H40"/>
    <mergeCell ref="B42:K43"/>
    <mergeCell ref="G50:H50"/>
    <mergeCell ref="G51:H51"/>
    <mergeCell ref="B44:K45"/>
    <mergeCell ref="B48:E48"/>
    <mergeCell ref="G48:H48"/>
    <mergeCell ref="C49:D49"/>
    <mergeCell ref="G49:H49"/>
    <mergeCell ref="C50:D50"/>
    <mergeCell ref="C51:D51"/>
    <mergeCell ref="C52:D52"/>
    <mergeCell ref="G52:H52"/>
    <mergeCell ref="C53:D53"/>
    <mergeCell ref="G53:H53"/>
    <mergeCell ref="C54:D54"/>
    <mergeCell ref="G54:H54"/>
    <mergeCell ref="G55:H55"/>
    <mergeCell ref="G76:H76"/>
    <mergeCell ref="G77:H77"/>
    <mergeCell ref="C89:D89"/>
    <mergeCell ref="C90:D90"/>
    <mergeCell ref="G90:H90"/>
    <mergeCell ref="C91:D91"/>
    <mergeCell ref="G91:H91"/>
    <mergeCell ref="C92:D92"/>
    <mergeCell ref="C93:D93"/>
    <mergeCell ref="C94:D94"/>
    <mergeCell ref="G94:H94"/>
    <mergeCell ref="C95:D95"/>
    <mergeCell ref="G95:H95"/>
    <mergeCell ref="C96:D96"/>
    <mergeCell ref="G96:H96"/>
    <mergeCell ref="G97:H97"/>
    <mergeCell ref="G111:H111"/>
    <mergeCell ref="G112:H112"/>
    <mergeCell ref="B108:E108"/>
    <mergeCell ref="C109:D109"/>
    <mergeCell ref="G109:H109"/>
    <mergeCell ref="C110:D110"/>
    <mergeCell ref="G110:H110"/>
    <mergeCell ref="C111:D111"/>
    <mergeCell ref="C112:D112"/>
    <mergeCell ref="C116:D116"/>
    <mergeCell ref="C117:D117"/>
    <mergeCell ref="C118:D118"/>
    <mergeCell ref="C119:D119"/>
    <mergeCell ref="B120:B121"/>
    <mergeCell ref="C120:D120"/>
    <mergeCell ref="C121:D121"/>
    <mergeCell ref="G117:H117"/>
    <mergeCell ref="G118:H118"/>
    <mergeCell ref="G119:H119"/>
    <mergeCell ref="G120:H120"/>
    <mergeCell ref="G121:H121"/>
    <mergeCell ref="B123:K124"/>
    <mergeCell ref="B126:K127"/>
    <mergeCell ref="C113:D113"/>
    <mergeCell ref="G113:H113"/>
    <mergeCell ref="C114:D114"/>
    <mergeCell ref="G114:H114"/>
    <mergeCell ref="C115:D115"/>
    <mergeCell ref="G115:H115"/>
    <mergeCell ref="G116:H116"/>
    <mergeCell ref="C72:D72"/>
    <mergeCell ref="G72:H72"/>
    <mergeCell ref="C73:D73"/>
    <mergeCell ref="G73:H73"/>
    <mergeCell ref="C74:D74"/>
    <mergeCell ref="G74:H74"/>
    <mergeCell ref="G75:H75"/>
    <mergeCell ref="C79:D79"/>
    <mergeCell ref="C80:D80"/>
    <mergeCell ref="C75:D75"/>
    <mergeCell ref="C76:D76"/>
    <mergeCell ref="C77:D77"/>
    <mergeCell ref="C78:D78"/>
    <mergeCell ref="G78:H78"/>
    <mergeCell ref="G79:H79"/>
    <mergeCell ref="G80:H80"/>
    <mergeCell ref="G81:H81"/>
    <mergeCell ref="B80:B81"/>
    <mergeCell ref="C81:D81"/>
    <mergeCell ref="B83:K84"/>
    <mergeCell ref="B85:K86"/>
    <mergeCell ref="B88:E88"/>
    <mergeCell ref="G88:H88"/>
    <mergeCell ref="G89:H89"/>
    <mergeCell ref="G92:H92"/>
    <mergeCell ref="G93:H93"/>
    <mergeCell ref="C97:D97"/>
    <mergeCell ref="C98:D98"/>
    <mergeCell ref="C99:D99"/>
    <mergeCell ref="B100:B101"/>
    <mergeCell ref="C100:D100"/>
    <mergeCell ref="C101:D101"/>
    <mergeCell ref="G98:H98"/>
    <mergeCell ref="G99:H99"/>
    <mergeCell ref="G100:H100"/>
    <mergeCell ref="G101:H101"/>
    <mergeCell ref="B102:K103"/>
    <mergeCell ref="B105:K106"/>
    <mergeCell ref="G108:H10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.88"/>
    <col customWidth="1" min="3" max="3" width="15.38"/>
    <col customWidth="1" min="4" max="4" width="12.0"/>
    <col customWidth="1" min="6" max="6" width="5.5"/>
    <col customWidth="1" min="7" max="7" width="16.63"/>
    <col customWidth="1" min="8" max="8" width="17.88"/>
  </cols>
  <sheetData>
    <row r="1">
      <c r="B1" s="1"/>
      <c r="C1" s="1"/>
      <c r="D1" s="1"/>
      <c r="E1" s="1"/>
      <c r="F1" s="127"/>
      <c r="G1" s="1"/>
      <c r="L1" s="157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57"/>
    </row>
    <row r="3">
      <c r="B3" s="5"/>
      <c r="C3" s="6"/>
      <c r="D3" s="6"/>
      <c r="E3" s="6"/>
      <c r="F3" s="6"/>
      <c r="G3" s="6"/>
      <c r="H3" s="6"/>
      <c r="I3" s="6"/>
      <c r="J3" s="6"/>
      <c r="K3" s="7"/>
      <c r="L3" s="157"/>
    </row>
    <row r="4">
      <c r="B4" s="8"/>
      <c r="C4" s="8"/>
      <c r="D4" s="8"/>
      <c r="E4" s="8"/>
      <c r="F4" s="129"/>
      <c r="G4" s="8"/>
      <c r="L4" s="157"/>
    </row>
    <row r="5">
      <c r="B5" s="9" t="s">
        <v>26</v>
      </c>
      <c r="C5" s="10"/>
      <c r="D5" s="10"/>
      <c r="E5" s="11"/>
      <c r="F5" s="128"/>
      <c r="G5" s="72" t="s">
        <v>79</v>
      </c>
      <c r="H5" s="10"/>
      <c r="I5" s="12" t="s">
        <v>2</v>
      </c>
      <c r="J5" s="13" t="s">
        <v>3</v>
      </c>
      <c r="K5" s="14" t="s">
        <v>4</v>
      </c>
      <c r="L5" s="157"/>
    </row>
    <row r="6">
      <c r="B6" s="15">
        <v>1.0</v>
      </c>
      <c r="C6" s="16" t="s">
        <v>5</v>
      </c>
      <c r="D6" s="11"/>
      <c r="E6" s="15">
        <v>664.0</v>
      </c>
      <c r="F6" s="128"/>
      <c r="G6" s="17" t="s">
        <v>6</v>
      </c>
      <c r="H6" s="18"/>
      <c r="I6" s="19">
        <f>E6</f>
        <v>664</v>
      </c>
      <c r="J6" s="20"/>
      <c r="K6" s="21"/>
      <c r="L6" s="157"/>
    </row>
    <row r="7">
      <c r="B7" s="22">
        <v>2.0</v>
      </c>
      <c r="C7" s="23" t="s">
        <v>7</v>
      </c>
      <c r="D7" s="11"/>
      <c r="E7" s="24">
        <v>0.6</v>
      </c>
      <c r="F7" s="189">
        <v>0.5</v>
      </c>
      <c r="G7" s="25" t="s">
        <v>8</v>
      </c>
      <c r="H7" s="26"/>
      <c r="I7" s="27">
        <f t="shared" ref="I7:I8" si="1">I6*J7</f>
        <v>398.4</v>
      </c>
      <c r="J7" s="28">
        <f t="shared" ref="J7:J8" si="2">E7</f>
        <v>0.6</v>
      </c>
      <c r="K7" s="29">
        <f t="shared" ref="K7:K8" si="3">I7+(I7*E9)</f>
        <v>517.92</v>
      </c>
      <c r="L7" s="158">
        <f>K7/I6</f>
        <v>0.78</v>
      </c>
    </row>
    <row r="8">
      <c r="B8" s="30">
        <v>3.0</v>
      </c>
      <c r="C8" s="31" t="s">
        <v>9</v>
      </c>
      <c r="D8" s="11"/>
      <c r="E8" s="32">
        <v>0.6</v>
      </c>
      <c r="F8" s="190" t="s">
        <v>36</v>
      </c>
      <c r="G8" s="25" t="s">
        <v>10</v>
      </c>
      <c r="H8" s="26"/>
      <c r="I8" s="33">
        <f t="shared" si="1"/>
        <v>239.04</v>
      </c>
      <c r="J8" s="34">
        <f t="shared" si="2"/>
        <v>0.6</v>
      </c>
      <c r="K8" s="35">
        <f t="shared" si="3"/>
        <v>358.56</v>
      </c>
      <c r="L8" s="158">
        <f>K8/K7</f>
        <v>0.6923076923</v>
      </c>
    </row>
    <row r="9">
      <c r="A9" s="171"/>
      <c r="B9" s="36">
        <v>4.0</v>
      </c>
      <c r="C9" s="37" t="s">
        <v>11</v>
      </c>
      <c r="D9" s="11"/>
      <c r="E9" s="38">
        <v>0.3</v>
      </c>
      <c r="F9" s="128"/>
      <c r="G9" s="25" t="s">
        <v>12</v>
      </c>
      <c r="H9" s="26"/>
      <c r="I9" s="39">
        <f>E11</f>
        <v>64</v>
      </c>
      <c r="J9" s="40">
        <f>E12</f>
        <v>0.25</v>
      </c>
      <c r="K9" s="41">
        <f>I9+(I9*E12)</f>
        <v>80</v>
      </c>
      <c r="L9" s="157"/>
    </row>
    <row r="10">
      <c r="B10" s="42">
        <v>5.0</v>
      </c>
      <c r="C10" s="43" t="s">
        <v>13</v>
      </c>
      <c r="D10" s="11"/>
      <c r="E10" s="44">
        <v>0.5</v>
      </c>
      <c r="F10" s="128"/>
      <c r="G10" s="25" t="s">
        <v>14</v>
      </c>
      <c r="H10" s="26"/>
      <c r="I10" s="45">
        <f>E13</f>
        <v>1500</v>
      </c>
      <c r="J10" s="46">
        <f>E14</f>
        <v>0.5</v>
      </c>
      <c r="K10" s="47">
        <f>I10+(I10*J10)</f>
        <v>2250</v>
      </c>
      <c r="L10" s="157">
        <f>K10/3</f>
        <v>750</v>
      </c>
    </row>
    <row r="11">
      <c r="B11" s="48">
        <v>6.0</v>
      </c>
      <c r="C11" s="49" t="s">
        <v>15</v>
      </c>
      <c r="D11" s="11"/>
      <c r="E11" s="50">
        <v>64.0</v>
      </c>
      <c r="F11" s="128"/>
      <c r="G11" s="25" t="s">
        <v>16</v>
      </c>
      <c r="H11" s="26"/>
      <c r="I11" s="45">
        <f>IFERROR(I7/E15,0)</f>
        <v>26.56</v>
      </c>
      <c r="J11" s="51"/>
      <c r="K11" s="47">
        <f>IFERROR(K7/K13,0)</f>
        <v>32.88380952</v>
      </c>
      <c r="L11" s="157"/>
    </row>
    <row r="12">
      <c r="B12" s="48">
        <v>7.0</v>
      </c>
      <c r="C12" s="49" t="s">
        <v>17</v>
      </c>
      <c r="D12" s="11"/>
      <c r="E12" s="52">
        <v>0.25</v>
      </c>
      <c r="F12" s="128"/>
      <c r="G12" s="25" t="s">
        <v>18</v>
      </c>
      <c r="H12" s="26"/>
      <c r="I12" s="53">
        <f>IFERROR(I10/I8,0)</f>
        <v>6.275100402</v>
      </c>
      <c r="J12" s="51"/>
      <c r="K12" s="54">
        <f>IFERROR(K10/K8,0)</f>
        <v>6.275100402</v>
      </c>
      <c r="L12" s="157"/>
    </row>
    <row r="13">
      <c r="B13" s="55">
        <v>8.0</v>
      </c>
      <c r="C13" s="56" t="s">
        <v>19</v>
      </c>
      <c r="D13" s="11"/>
      <c r="E13" s="57">
        <f>500*3</f>
        <v>1500</v>
      </c>
      <c r="F13" s="143">
        <v>492.0</v>
      </c>
      <c r="G13" s="25" t="s">
        <v>20</v>
      </c>
      <c r="H13" s="26"/>
      <c r="I13" s="59"/>
      <c r="J13" s="51"/>
      <c r="K13" s="47">
        <f>E15+(E15*E16)</f>
        <v>15.75</v>
      </c>
      <c r="L13" s="157"/>
    </row>
    <row r="14">
      <c r="B14" s="55">
        <v>9.0</v>
      </c>
      <c r="C14" s="56" t="s">
        <v>21</v>
      </c>
      <c r="D14" s="11"/>
      <c r="E14" s="60">
        <v>0.5</v>
      </c>
      <c r="F14" s="145"/>
      <c r="G14" s="25" t="s">
        <v>22</v>
      </c>
      <c r="H14" s="26"/>
      <c r="I14" s="45">
        <f>IFERROR(I10/E15,0)</f>
        <v>100</v>
      </c>
      <c r="J14" s="51"/>
      <c r="K14" s="47">
        <f>IFERROR(K10/K13,0)</f>
        <v>142.8571429</v>
      </c>
      <c r="L14" s="157"/>
    </row>
    <row r="15">
      <c r="B15" s="55">
        <v>10.0</v>
      </c>
      <c r="C15" s="56" t="s">
        <v>23</v>
      </c>
      <c r="D15" s="11"/>
      <c r="E15" s="57">
        <v>15.0</v>
      </c>
      <c r="F15" s="145"/>
      <c r="G15" s="25"/>
      <c r="H15" s="26"/>
      <c r="I15" s="59"/>
      <c r="J15" s="51"/>
      <c r="K15" s="146"/>
      <c r="L15" s="157"/>
    </row>
    <row r="16">
      <c r="B16" s="55">
        <v>11.0</v>
      </c>
      <c r="C16" s="56" t="s">
        <v>24</v>
      </c>
      <c r="D16" s="11"/>
      <c r="E16" s="60">
        <v>0.05</v>
      </c>
      <c r="F16" s="145"/>
      <c r="G16" s="87" t="s">
        <v>30</v>
      </c>
      <c r="H16" s="26"/>
      <c r="I16" s="88"/>
      <c r="J16" s="89"/>
      <c r="K16" s="90">
        <f>(K10*28)*E17</f>
        <v>9450</v>
      </c>
      <c r="L16" s="157"/>
    </row>
    <row r="17">
      <c r="B17" s="91">
        <v>12.0</v>
      </c>
      <c r="C17" s="92" t="s">
        <v>31</v>
      </c>
      <c r="D17" s="11"/>
      <c r="E17" s="93">
        <v>0.15</v>
      </c>
      <c r="F17" s="145"/>
      <c r="G17" s="87" t="s">
        <v>32</v>
      </c>
      <c r="H17" s="26"/>
      <c r="I17" s="94"/>
      <c r="J17" s="95"/>
      <c r="K17" s="90">
        <f>(K10*28)*E18</f>
        <v>630</v>
      </c>
      <c r="L17" s="157"/>
    </row>
    <row r="18">
      <c r="B18" s="96"/>
      <c r="C18" s="92" t="s">
        <v>43</v>
      </c>
      <c r="D18" s="11"/>
      <c r="E18" s="93">
        <v>0.01</v>
      </c>
      <c r="F18" s="145"/>
      <c r="G18" s="62"/>
      <c r="H18" s="63"/>
      <c r="I18" s="64"/>
      <c r="J18" s="65"/>
      <c r="K18" s="66"/>
      <c r="L18" s="157"/>
    </row>
    <row r="19">
      <c r="F19" s="129"/>
      <c r="G19" s="61"/>
      <c r="L19" s="157"/>
    </row>
    <row r="20">
      <c r="B20" s="148" t="s">
        <v>25</v>
      </c>
      <c r="C20" s="3"/>
      <c r="D20" s="3"/>
      <c r="E20" s="3"/>
      <c r="F20" s="3"/>
      <c r="G20" s="3"/>
      <c r="H20" s="3"/>
      <c r="I20" s="3"/>
      <c r="J20" s="3"/>
      <c r="K20" s="4"/>
      <c r="L20" s="157"/>
    </row>
    <row r="21">
      <c r="B21" s="5"/>
      <c r="C21" s="6"/>
      <c r="D21" s="6"/>
      <c r="E21" s="6"/>
      <c r="F21" s="6"/>
      <c r="G21" s="6"/>
      <c r="H21" s="6"/>
      <c r="I21" s="6"/>
      <c r="J21" s="6"/>
      <c r="K21" s="7"/>
      <c r="L21" s="157"/>
    </row>
    <row r="22">
      <c r="B22" s="159"/>
      <c r="C22" s="159"/>
      <c r="D22" s="159"/>
      <c r="E22" s="159"/>
      <c r="F22" s="160"/>
      <c r="G22" s="159"/>
      <c r="H22" s="159"/>
      <c r="I22" s="159"/>
      <c r="J22" s="159"/>
      <c r="K22" s="159"/>
      <c r="L22" s="157"/>
    </row>
    <row r="23">
      <c r="B23" s="2" t="s">
        <v>0</v>
      </c>
      <c r="C23" s="3"/>
      <c r="D23" s="3"/>
      <c r="E23" s="3"/>
      <c r="F23" s="3"/>
      <c r="G23" s="3"/>
      <c r="H23" s="3"/>
      <c r="I23" s="3"/>
      <c r="J23" s="3"/>
      <c r="K23" s="4"/>
      <c r="L23" s="157"/>
    </row>
    <row r="24">
      <c r="B24" s="5"/>
      <c r="C24" s="6"/>
      <c r="D24" s="6"/>
      <c r="E24" s="6"/>
      <c r="F24" s="6"/>
      <c r="G24" s="6"/>
      <c r="H24" s="6"/>
      <c r="I24" s="6"/>
      <c r="J24" s="6"/>
      <c r="K24" s="7"/>
      <c r="L24" s="157"/>
    </row>
    <row r="25">
      <c r="B25" s="8"/>
      <c r="C25" s="8"/>
      <c r="D25" s="8"/>
      <c r="E25" s="8"/>
      <c r="F25" s="129"/>
      <c r="G25" s="8"/>
      <c r="L25" s="157"/>
    </row>
    <row r="26">
      <c r="B26" s="9" t="s">
        <v>26</v>
      </c>
      <c r="C26" s="10"/>
      <c r="D26" s="10"/>
      <c r="E26" s="11"/>
      <c r="F26" s="128"/>
      <c r="G26" s="72" t="s">
        <v>80</v>
      </c>
      <c r="H26" s="10"/>
      <c r="I26" s="12" t="s">
        <v>2</v>
      </c>
      <c r="J26" s="13" t="s">
        <v>3</v>
      </c>
      <c r="K26" s="14" t="s">
        <v>4</v>
      </c>
      <c r="L26" s="157"/>
    </row>
    <row r="27">
      <c r="B27" s="15">
        <v>1.0</v>
      </c>
      <c r="C27" s="16" t="s">
        <v>5</v>
      </c>
      <c r="D27" s="11"/>
      <c r="E27" s="15">
        <v>428.0</v>
      </c>
      <c r="F27" s="128"/>
      <c r="G27" s="17" t="s">
        <v>6</v>
      </c>
      <c r="H27" s="18"/>
      <c r="I27" s="19">
        <f>E27</f>
        <v>428</v>
      </c>
      <c r="J27" s="20"/>
      <c r="K27" s="21"/>
      <c r="L27" s="157"/>
    </row>
    <row r="28">
      <c r="B28" s="22">
        <v>2.0</v>
      </c>
      <c r="C28" s="23" t="s">
        <v>7</v>
      </c>
      <c r="D28" s="11"/>
      <c r="E28" s="24">
        <v>0.85</v>
      </c>
      <c r="F28" s="150">
        <v>0.85</v>
      </c>
      <c r="G28" s="25" t="s">
        <v>8</v>
      </c>
      <c r="H28" s="26"/>
      <c r="I28" s="27">
        <f t="shared" ref="I28:I29" si="4">I27*J28</f>
        <v>363.8</v>
      </c>
      <c r="J28" s="28">
        <f t="shared" ref="J28:J29" si="5">E28</f>
        <v>0.85</v>
      </c>
      <c r="K28" s="29">
        <f t="shared" ref="K28:K29" si="6">I28+(I28*E30)</f>
        <v>400.18</v>
      </c>
      <c r="L28" s="158">
        <f>K28/I27</f>
        <v>0.935</v>
      </c>
    </row>
    <row r="29">
      <c r="B29" s="30">
        <v>3.0</v>
      </c>
      <c r="C29" s="31" t="s">
        <v>9</v>
      </c>
      <c r="D29" s="11"/>
      <c r="E29" s="32">
        <v>0.6</v>
      </c>
      <c r="F29" s="154" t="s">
        <v>36</v>
      </c>
      <c r="G29" s="25" t="s">
        <v>10</v>
      </c>
      <c r="H29" s="26"/>
      <c r="I29" s="33">
        <f t="shared" si="4"/>
        <v>218.28</v>
      </c>
      <c r="J29" s="34">
        <f t="shared" si="5"/>
        <v>0.6</v>
      </c>
      <c r="K29" s="35">
        <f t="shared" si="6"/>
        <v>349.248</v>
      </c>
      <c r="L29" s="158">
        <f>K29/K28</f>
        <v>0.8727272727</v>
      </c>
    </row>
    <row r="30">
      <c r="B30" s="36">
        <v>4.0</v>
      </c>
      <c r="C30" s="37" t="s">
        <v>11</v>
      </c>
      <c r="D30" s="11"/>
      <c r="E30" s="38">
        <v>0.1</v>
      </c>
      <c r="F30" s="128"/>
      <c r="G30" s="25" t="s">
        <v>12</v>
      </c>
      <c r="H30" s="26"/>
      <c r="I30" s="39">
        <f>E32</f>
        <v>54</v>
      </c>
      <c r="J30" s="40">
        <f>E33</f>
        <v>0.68</v>
      </c>
      <c r="K30" s="41">
        <f>I30+(I30*E33)</f>
        <v>90.72</v>
      </c>
      <c r="L30" s="157"/>
    </row>
    <row r="31">
      <c r="B31" s="42">
        <v>5.0</v>
      </c>
      <c r="C31" s="43" t="s">
        <v>13</v>
      </c>
      <c r="D31" s="11"/>
      <c r="E31" s="44">
        <v>0.6</v>
      </c>
      <c r="F31" s="128"/>
      <c r="G31" s="25" t="s">
        <v>14</v>
      </c>
      <c r="H31" s="26"/>
      <c r="I31" s="45">
        <f>E34</f>
        <v>3600</v>
      </c>
      <c r="J31" s="46">
        <f>E35</f>
        <v>0.2</v>
      </c>
      <c r="K31" s="47">
        <f>I31+(I31*J31)</f>
        <v>4320</v>
      </c>
      <c r="L31" s="165">
        <f>K31/3</f>
        <v>1440</v>
      </c>
    </row>
    <row r="32">
      <c r="B32" s="48">
        <v>6.0</v>
      </c>
      <c r="C32" s="49" t="s">
        <v>15</v>
      </c>
      <c r="D32" s="11"/>
      <c r="E32" s="50">
        <v>54.0</v>
      </c>
      <c r="F32" s="128"/>
      <c r="G32" s="25" t="s">
        <v>16</v>
      </c>
      <c r="H32" s="26"/>
      <c r="I32" s="45">
        <f>IFERROR(I28/E36,0)</f>
        <v>72.76</v>
      </c>
      <c r="J32" s="51"/>
      <c r="K32" s="47">
        <f>IFERROR(K28/K34,0)</f>
        <v>72.76</v>
      </c>
      <c r="L32" s="157"/>
    </row>
    <row r="33">
      <c r="B33" s="48">
        <v>7.0</v>
      </c>
      <c r="C33" s="49" t="s">
        <v>17</v>
      </c>
      <c r="D33" s="11"/>
      <c r="E33" s="52">
        <v>0.68</v>
      </c>
      <c r="F33" s="128"/>
      <c r="G33" s="25" t="s">
        <v>18</v>
      </c>
      <c r="H33" s="26"/>
      <c r="I33" s="53">
        <f>IFERROR(I31/I29,0)</f>
        <v>16.49257834</v>
      </c>
      <c r="J33" s="51"/>
      <c r="K33" s="54">
        <f>IFERROR(K31/K29,0)</f>
        <v>12.36943375</v>
      </c>
      <c r="L33" s="157"/>
    </row>
    <row r="34">
      <c r="B34" s="55">
        <v>8.0</v>
      </c>
      <c r="C34" s="56" t="s">
        <v>19</v>
      </c>
      <c r="D34" s="11"/>
      <c r="E34" s="57">
        <f>1200*3</f>
        <v>3600</v>
      </c>
      <c r="F34" s="143">
        <v>693.0</v>
      </c>
      <c r="G34" s="25" t="s">
        <v>20</v>
      </c>
      <c r="H34" s="26"/>
      <c r="I34" s="53">
        <f>E36</f>
        <v>5</v>
      </c>
      <c r="J34" s="51"/>
      <c r="K34" s="47">
        <f>E36+(E36*E37)</f>
        <v>5.5</v>
      </c>
      <c r="L34" s="157"/>
    </row>
    <row r="35">
      <c r="B35" s="55">
        <v>9.0</v>
      </c>
      <c r="C35" s="56" t="s">
        <v>21</v>
      </c>
      <c r="D35" s="11"/>
      <c r="E35" s="60">
        <v>0.2</v>
      </c>
      <c r="F35" s="145"/>
      <c r="G35" s="25" t="s">
        <v>22</v>
      </c>
      <c r="H35" s="26"/>
      <c r="I35" s="45">
        <f>IFERROR(I31/E36,0)</f>
        <v>720</v>
      </c>
      <c r="J35" s="51"/>
      <c r="K35" s="47">
        <f>IFERROR(K31/K34,0)</f>
        <v>785.4545455</v>
      </c>
      <c r="L35" s="157"/>
    </row>
    <row r="36">
      <c r="B36" s="55">
        <v>10.0</v>
      </c>
      <c r="C36" s="56" t="s">
        <v>23</v>
      </c>
      <c r="D36" s="11"/>
      <c r="E36" s="57">
        <v>5.0</v>
      </c>
      <c r="F36" s="145"/>
      <c r="G36" s="25"/>
      <c r="H36" s="26"/>
      <c r="I36" s="59"/>
      <c r="J36" s="51"/>
      <c r="K36" s="146"/>
      <c r="L36" s="157"/>
    </row>
    <row r="37">
      <c r="B37" s="55">
        <v>11.0</v>
      </c>
      <c r="C37" s="56" t="s">
        <v>24</v>
      </c>
      <c r="D37" s="11"/>
      <c r="E37" s="60">
        <v>0.1</v>
      </c>
      <c r="F37" s="145"/>
      <c r="G37" s="87" t="s">
        <v>30</v>
      </c>
      <c r="H37" s="26"/>
      <c r="I37" s="88"/>
      <c r="J37" s="89"/>
      <c r="K37" s="90">
        <f>(K31*28)*E38</f>
        <v>19353.6</v>
      </c>
      <c r="L37" s="157"/>
    </row>
    <row r="38">
      <c r="B38" s="91">
        <v>12.0</v>
      </c>
      <c r="C38" s="92" t="s">
        <v>31</v>
      </c>
      <c r="D38" s="11"/>
      <c r="E38" s="93">
        <v>0.16</v>
      </c>
      <c r="F38" s="145"/>
      <c r="G38" s="87" t="s">
        <v>32</v>
      </c>
      <c r="H38" s="26"/>
      <c r="I38" s="94"/>
      <c r="J38" s="95"/>
      <c r="K38" s="90">
        <f>(K31*28)*E39</f>
        <v>1209.6</v>
      </c>
      <c r="L38" s="157"/>
    </row>
    <row r="39">
      <c r="B39" s="96"/>
      <c r="C39" s="92" t="s">
        <v>43</v>
      </c>
      <c r="D39" s="11"/>
      <c r="E39" s="93">
        <v>0.01</v>
      </c>
      <c r="F39" s="145"/>
      <c r="G39" s="62"/>
      <c r="H39" s="63"/>
      <c r="I39" s="64"/>
      <c r="J39" s="65"/>
      <c r="K39" s="66"/>
      <c r="L39" s="157"/>
    </row>
    <row r="40">
      <c r="F40" s="129"/>
      <c r="G40" s="61"/>
      <c r="L40" s="157"/>
    </row>
    <row r="41">
      <c r="B41" s="148" t="s">
        <v>25</v>
      </c>
      <c r="C41" s="3"/>
      <c r="D41" s="3"/>
      <c r="E41" s="3"/>
      <c r="F41" s="3"/>
      <c r="G41" s="3"/>
      <c r="H41" s="3"/>
      <c r="I41" s="3"/>
      <c r="J41" s="3"/>
      <c r="K41" s="4"/>
      <c r="L41" s="157"/>
    </row>
    <row r="42">
      <c r="B42" s="5"/>
      <c r="C42" s="6"/>
      <c r="D42" s="6"/>
      <c r="E42" s="6"/>
      <c r="F42" s="6"/>
      <c r="G42" s="6"/>
      <c r="H42" s="6"/>
      <c r="I42" s="6"/>
      <c r="J42" s="6"/>
      <c r="K42" s="7"/>
      <c r="L42" s="157"/>
    </row>
    <row r="43">
      <c r="B43" s="159"/>
      <c r="C43" s="159"/>
      <c r="D43" s="159"/>
      <c r="E43" s="159"/>
      <c r="F43" s="160"/>
      <c r="G43" s="159"/>
      <c r="H43" s="159"/>
      <c r="I43" s="159"/>
      <c r="J43" s="159"/>
      <c r="K43" s="159"/>
      <c r="L43" s="157"/>
    </row>
    <row r="44">
      <c r="B44" s="159"/>
      <c r="C44" s="159"/>
      <c r="D44" s="159"/>
      <c r="E44" s="159"/>
      <c r="F44" s="160"/>
      <c r="G44" s="159"/>
      <c r="H44" s="159"/>
      <c r="I44" s="159"/>
      <c r="J44" s="159"/>
      <c r="K44" s="159"/>
      <c r="L44" s="157"/>
    </row>
    <row r="45">
      <c r="B45" s="2" t="s">
        <v>0</v>
      </c>
      <c r="C45" s="3"/>
      <c r="D45" s="3"/>
      <c r="E45" s="3"/>
      <c r="F45" s="3"/>
      <c r="G45" s="3"/>
      <c r="H45" s="3"/>
      <c r="I45" s="3"/>
      <c r="J45" s="3"/>
      <c r="K45" s="4"/>
      <c r="L45" s="157"/>
    </row>
    <row r="46">
      <c r="B46" s="5"/>
      <c r="C46" s="6"/>
      <c r="D46" s="6"/>
      <c r="E46" s="6"/>
      <c r="F46" s="6"/>
      <c r="G46" s="6"/>
      <c r="H46" s="6"/>
      <c r="I46" s="6"/>
      <c r="J46" s="6"/>
      <c r="K46" s="7"/>
      <c r="L46" s="157"/>
    </row>
    <row r="47">
      <c r="B47" s="8"/>
      <c r="C47" s="8"/>
      <c r="D47" s="8"/>
      <c r="E47" s="8"/>
      <c r="F47" s="129"/>
      <c r="G47" s="8"/>
      <c r="L47" s="157"/>
    </row>
    <row r="48">
      <c r="B48" s="9" t="s">
        <v>26</v>
      </c>
      <c r="C48" s="10"/>
      <c r="D48" s="10"/>
      <c r="E48" s="11"/>
      <c r="F48" s="128"/>
      <c r="G48" s="72" t="s">
        <v>81</v>
      </c>
      <c r="H48" s="10"/>
      <c r="I48" s="12" t="s">
        <v>2</v>
      </c>
      <c r="J48" s="13" t="s">
        <v>3</v>
      </c>
      <c r="K48" s="14" t="s">
        <v>4</v>
      </c>
      <c r="L48" s="157"/>
    </row>
    <row r="49">
      <c r="B49" s="15">
        <v>1.0</v>
      </c>
      <c r="C49" s="16" t="s">
        <v>5</v>
      </c>
      <c r="D49" s="11"/>
      <c r="E49" s="15">
        <v>1410.0</v>
      </c>
      <c r="F49" s="128"/>
      <c r="G49" s="17" t="s">
        <v>6</v>
      </c>
      <c r="H49" s="18"/>
      <c r="I49" s="19">
        <f>E49</f>
        <v>1410</v>
      </c>
      <c r="J49" s="20"/>
      <c r="K49" s="21"/>
      <c r="L49" s="157"/>
    </row>
    <row r="50">
      <c r="B50" s="22">
        <v>2.0</v>
      </c>
      <c r="C50" s="23" t="s">
        <v>7</v>
      </c>
      <c r="D50" s="11"/>
      <c r="E50" s="24">
        <v>0.7</v>
      </c>
      <c r="F50" s="150">
        <v>0.7</v>
      </c>
      <c r="G50" s="25" t="s">
        <v>8</v>
      </c>
      <c r="H50" s="26"/>
      <c r="I50" s="27">
        <f t="shared" ref="I50:I51" si="7">I49*J50</f>
        <v>987</v>
      </c>
      <c r="J50" s="28">
        <f t="shared" ref="J50:J51" si="8">E50</f>
        <v>0.7</v>
      </c>
      <c r="K50" s="29">
        <f t="shared" ref="K50:K51" si="9">I50+(I50*E52)</f>
        <v>1283.1</v>
      </c>
      <c r="L50" s="158">
        <f>K50/I49</f>
        <v>0.91</v>
      </c>
    </row>
    <row r="51">
      <c r="B51" s="30">
        <v>3.0</v>
      </c>
      <c r="C51" s="31" t="s">
        <v>9</v>
      </c>
      <c r="D51" s="11"/>
      <c r="E51" s="32">
        <v>0.3</v>
      </c>
      <c r="F51" s="154" t="s">
        <v>38</v>
      </c>
      <c r="G51" s="25" t="s">
        <v>10</v>
      </c>
      <c r="H51" s="26"/>
      <c r="I51" s="33">
        <f t="shared" si="7"/>
        <v>296.1</v>
      </c>
      <c r="J51" s="34">
        <f t="shared" si="8"/>
        <v>0.3</v>
      </c>
      <c r="K51" s="35">
        <f t="shared" si="9"/>
        <v>888.3</v>
      </c>
      <c r="L51" s="158">
        <f>K51/K50</f>
        <v>0.6923076923</v>
      </c>
    </row>
    <row r="52">
      <c r="B52" s="36">
        <v>4.0</v>
      </c>
      <c r="C52" s="37" t="s">
        <v>11</v>
      </c>
      <c r="D52" s="11"/>
      <c r="E52" s="38">
        <v>0.3</v>
      </c>
      <c r="F52" s="128"/>
      <c r="G52" s="25" t="s">
        <v>12</v>
      </c>
      <c r="H52" s="26"/>
      <c r="I52" s="39">
        <f>E54</f>
        <v>25</v>
      </c>
      <c r="J52" s="40">
        <f>E55</f>
        <v>2</v>
      </c>
      <c r="K52" s="41">
        <f t="shared" ref="K52:K53" si="10">I52+(I52*J52)</f>
        <v>75</v>
      </c>
      <c r="L52" s="157"/>
    </row>
    <row r="53">
      <c r="B53" s="42">
        <v>5.0</v>
      </c>
      <c r="C53" s="43" t="s">
        <v>13</v>
      </c>
      <c r="D53" s="11"/>
      <c r="E53" s="44">
        <v>2.0</v>
      </c>
      <c r="F53" s="128"/>
      <c r="G53" s="25" t="s">
        <v>14</v>
      </c>
      <c r="H53" s="26"/>
      <c r="I53" s="45">
        <f>E56</f>
        <v>600</v>
      </c>
      <c r="J53" s="46">
        <f>E57</f>
        <v>2</v>
      </c>
      <c r="K53" s="47">
        <f t="shared" si="10"/>
        <v>1800</v>
      </c>
      <c r="L53" s="191">
        <f>K53/3</f>
        <v>600</v>
      </c>
    </row>
    <row r="54">
      <c r="B54" s="48">
        <v>6.0</v>
      </c>
      <c r="C54" s="49" t="s">
        <v>15</v>
      </c>
      <c r="D54" s="11"/>
      <c r="E54" s="50">
        <v>25.0</v>
      </c>
      <c r="F54" s="128"/>
      <c r="G54" s="25" t="s">
        <v>16</v>
      </c>
      <c r="H54" s="26"/>
      <c r="I54" s="45">
        <f>IFERROR(I50/E58,0)</f>
        <v>51.94736842</v>
      </c>
      <c r="J54" s="51"/>
      <c r="K54" s="47">
        <f>IFERROR(K50/K56,0)</f>
        <v>67.53157895</v>
      </c>
      <c r="L54" s="157"/>
    </row>
    <row r="55">
      <c r="B55" s="48">
        <v>7.0</v>
      </c>
      <c r="C55" s="49" t="s">
        <v>17</v>
      </c>
      <c r="D55" s="11"/>
      <c r="E55" s="52">
        <v>2.0</v>
      </c>
      <c r="F55" s="128"/>
      <c r="G55" s="25" t="s">
        <v>18</v>
      </c>
      <c r="H55" s="26"/>
      <c r="I55" s="53">
        <f>IFERROR(I53/I51,0)</f>
        <v>2.026342452</v>
      </c>
      <c r="J55" s="51"/>
      <c r="K55" s="54">
        <f>IFERROR(K53/K51,0)</f>
        <v>2.026342452</v>
      </c>
      <c r="L55" s="157"/>
    </row>
    <row r="56">
      <c r="B56" s="55">
        <v>8.0</v>
      </c>
      <c r="C56" s="56" t="s">
        <v>19</v>
      </c>
      <c r="D56" s="11"/>
      <c r="E56" s="57">
        <f>200*3</f>
        <v>600</v>
      </c>
      <c r="F56" s="163"/>
      <c r="G56" s="25" t="s">
        <v>20</v>
      </c>
      <c r="H56" s="26"/>
      <c r="I56" s="59"/>
      <c r="J56" s="51"/>
      <c r="K56" s="47">
        <f>E58+(E58*E59)</f>
        <v>19</v>
      </c>
      <c r="L56" s="157"/>
    </row>
    <row r="57">
      <c r="B57" s="55">
        <v>9.0</v>
      </c>
      <c r="C57" s="56" t="s">
        <v>21</v>
      </c>
      <c r="D57" s="11"/>
      <c r="E57" s="60">
        <v>2.0</v>
      </c>
      <c r="F57" s="145"/>
      <c r="G57" s="25" t="s">
        <v>22</v>
      </c>
      <c r="H57" s="26"/>
      <c r="I57" s="45">
        <f>IFERROR(I53/E58,0)</f>
        <v>31.57894737</v>
      </c>
      <c r="J57" s="51"/>
      <c r="K57" s="47">
        <f>IFERROR(K53/K56,0)</f>
        <v>94.73684211</v>
      </c>
      <c r="L57" s="157"/>
    </row>
    <row r="58">
      <c r="B58" s="55">
        <v>10.0</v>
      </c>
      <c r="C58" s="56" t="s">
        <v>23</v>
      </c>
      <c r="D58" s="11"/>
      <c r="E58" s="57">
        <v>19.0</v>
      </c>
      <c r="F58" s="145"/>
      <c r="G58" s="25"/>
      <c r="H58" s="26"/>
      <c r="I58" s="59"/>
      <c r="J58" s="51"/>
      <c r="K58" s="146"/>
      <c r="L58" s="157"/>
    </row>
    <row r="59">
      <c r="B59" s="55">
        <v>11.0</v>
      </c>
      <c r="C59" s="56" t="s">
        <v>24</v>
      </c>
      <c r="D59" s="11"/>
      <c r="E59" s="60">
        <v>0.0</v>
      </c>
      <c r="F59" s="145"/>
      <c r="G59" s="147" t="s">
        <v>30</v>
      </c>
      <c r="H59" s="26"/>
      <c r="I59" s="88"/>
      <c r="J59" s="89"/>
      <c r="K59" s="90">
        <f>(K53*28)*E60</f>
        <v>9072</v>
      </c>
      <c r="L59" s="157"/>
    </row>
    <row r="60">
      <c r="B60" s="91">
        <v>12.0</v>
      </c>
      <c r="C60" s="92" t="s">
        <v>31</v>
      </c>
      <c r="D60" s="11"/>
      <c r="E60" s="93">
        <v>0.18</v>
      </c>
      <c r="F60" s="145"/>
      <c r="G60" s="147" t="s">
        <v>32</v>
      </c>
      <c r="H60" s="26"/>
      <c r="I60" s="94"/>
      <c r="J60" s="95"/>
      <c r="K60" s="90">
        <f>(K53*28)*E61</f>
        <v>504</v>
      </c>
      <c r="L60" s="157"/>
    </row>
    <row r="61">
      <c r="B61" s="96"/>
      <c r="C61" s="92" t="s">
        <v>43</v>
      </c>
      <c r="D61" s="11"/>
      <c r="E61" s="93">
        <v>0.01</v>
      </c>
      <c r="F61" s="145"/>
      <c r="G61" s="62"/>
      <c r="H61" s="63"/>
      <c r="I61" s="64"/>
      <c r="J61" s="65"/>
      <c r="K61" s="66"/>
      <c r="L61" s="157"/>
    </row>
    <row r="62">
      <c r="F62" s="129"/>
      <c r="G62" s="61"/>
      <c r="L62" s="157"/>
    </row>
    <row r="63">
      <c r="B63" s="148" t="s">
        <v>25</v>
      </c>
      <c r="C63" s="3"/>
      <c r="D63" s="3"/>
      <c r="E63" s="3"/>
      <c r="F63" s="3"/>
      <c r="G63" s="3"/>
      <c r="H63" s="3"/>
      <c r="I63" s="3"/>
      <c r="J63" s="3"/>
      <c r="K63" s="4"/>
      <c r="L63" s="157"/>
    </row>
    <row r="64">
      <c r="B64" s="192"/>
      <c r="K64" s="193"/>
      <c r="L64" s="157"/>
    </row>
    <row r="65">
      <c r="B65" s="5"/>
      <c r="C65" s="6"/>
      <c r="D65" s="6"/>
      <c r="E65" s="6"/>
      <c r="F65" s="6"/>
      <c r="G65" s="6"/>
      <c r="H65" s="6"/>
      <c r="I65" s="6"/>
      <c r="J65" s="6"/>
      <c r="K65" s="7"/>
      <c r="L65" s="157"/>
    </row>
    <row r="66">
      <c r="B66" s="67"/>
      <c r="C66" s="67"/>
      <c r="D66" s="67"/>
      <c r="E66" s="67"/>
      <c r="F66" s="194"/>
      <c r="G66" s="67"/>
      <c r="H66" s="67"/>
      <c r="I66" s="67"/>
      <c r="J66" s="67"/>
      <c r="K66" s="67"/>
      <c r="L66" s="157"/>
    </row>
    <row r="67">
      <c r="A67" s="195" t="s">
        <v>45</v>
      </c>
      <c r="B67" s="161" t="s">
        <v>82</v>
      </c>
      <c r="C67" s="180"/>
      <c r="D67" s="180"/>
      <c r="E67" s="180"/>
      <c r="F67" s="180"/>
      <c r="G67" s="180"/>
      <c r="H67" s="180"/>
      <c r="I67" s="180"/>
      <c r="J67" s="180"/>
      <c r="K67" s="181"/>
      <c r="L67" s="157"/>
    </row>
    <row r="68">
      <c r="B68" s="183"/>
      <c r="C68" s="184"/>
      <c r="D68" s="184"/>
      <c r="E68" s="184"/>
      <c r="F68" s="184"/>
      <c r="G68" s="184"/>
      <c r="H68" s="184"/>
      <c r="I68" s="184"/>
      <c r="J68" s="184"/>
      <c r="K68" s="185"/>
      <c r="L68" s="157"/>
    </row>
    <row r="69">
      <c r="B69" s="8"/>
      <c r="C69" s="8"/>
      <c r="D69" s="8"/>
      <c r="E69" s="8"/>
      <c r="F69" s="129"/>
      <c r="G69" s="8"/>
      <c r="L69" s="157"/>
    </row>
    <row r="70">
      <c r="B70" s="9" t="s">
        <v>26</v>
      </c>
      <c r="C70" s="10"/>
      <c r="D70" s="10"/>
      <c r="E70" s="11"/>
      <c r="F70" s="128"/>
      <c r="G70" s="72" t="s">
        <v>83</v>
      </c>
      <c r="H70" s="10"/>
      <c r="I70" s="12" t="s">
        <v>2</v>
      </c>
      <c r="J70" s="13" t="s">
        <v>3</v>
      </c>
      <c r="K70" s="14" t="s">
        <v>4</v>
      </c>
      <c r="L70" s="157"/>
    </row>
    <row r="71">
      <c r="B71" s="15">
        <v>1.0</v>
      </c>
      <c r="C71" s="16" t="s">
        <v>5</v>
      </c>
      <c r="D71" s="11"/>
      <c r="E71" s="15">
        <v>300.0</v>
      </c>
      <c r="F71" s="128"/>
      <c r="G71" s="17" t="s">
        <v>6</v>
      </c>
      <c r="H71" s="18"/>
      <c r="I71" s="19">
        <f>E71</f>
        <v>300</v>
      </c>
      <c r="J71" s="20"/>
      <c r="K71" s="21"/>
      <c r="L71" s="157"/>
    </row>
    <row r="72">
      <c r="B72" s="22">
        <v>2.0</v>
      </c>
      <c r="C72" s="23" t="s">
        <v>7</v>
      </c>
      <c r="D72" s="11"/>
      <c r="E72" s="24">
        <v>0.6</v>
      </c>
      <c r="F72" s="128"/>
      <c r="G72" s="25" t="s">
        <v>8</v>
      </c>
      <c r="H72" s="26"/>
      <c r="I72" s="27">
        <f t="shared" ref="I72:I73" si="11">I71*J72</f>
        <v>180</v>
      </c>
      <c r="J72" s="28">
        <f t="shared" ref="J72:J73" si="12">E72</f>
        <v>0.6</v>
      </c>
      <c r="K72" s="29">
        <f>I72+(I72*E74)</f>
        <v>234</v>
      </c>
      <c r="L72" s="158">
        <f>K72/I71</f>
        <v>0.78</v>
      </c>
    </row>
    <row r="73">
      <c r="B73" s="30">
        <v>3.0</v>
      </c>
      <c r="C73" s="31" t="s">
        <v>9</v>
      </c>
      <c r="D73" s="11"/>
      <c r="E73" s="32">
        <v>0.4</v>
      </c>
      <c r="F73" s="128"/>
      <c r="G73" s="25" t="s">
        <v>10</v>
      </c>
      <c r="H73" s="26"/>
      <c r="I73" s="33">
        <f t="shared" si="11"/>
        <v>72</v>
      </c>
      <c r="J73" s="34">
        <f t="shared" si="12"/>
        <v>0.4</v>
      </c>
      <c r="K73" s="35">
        <f>I73+(I73*E74)</f>
        <v>93.6</v>
      </c>
      <c r="L73" s="158">
        <f>K73/K72</f>
        <v>0.4</v>
      </c>
    </row>
    <row r="74">
      <c r="B74" s="36">
        <v>4.0</v>
      </c>
      <c r="C74" s="37" t="s">
        <v>11</v>
      </c>
      <c r="D74" s="11"/>
      <c r="E74" s="38">
        <v>0.3</v>
      </c>
      <c r="F74" s="128"/>
      <c r="G74" s="25" t="s">
        <v>12</v>
      </c>
      <c r="H74" s="26"/>
      <c r="I74" s="39">
        <f>E76</f>
        <v>60</v>
      </c>
      <c r="J74" s="40">
        <f>E77</f>
        <v>0.1</v>
      </c>
      <c r="K74" s="41">
        <f>I74+(I74*E77)</f>
        <v>66</v>
      </c>
      <c r="L74" s="157"/>
    </row>
    <row r="75">
      <c r="B75" s="42">
        <v>5.0</v>
      </c>
      <c r="C75" s="43" t="s">
        <v>13</v>
      </c>
      <c r="D75" s="11"/>
      <c r="E75" s="44">
        <v>0.3</v>
      </c>
      <c r="F75" s="128"/>
      <c r="G75" s="25" t="s">
        <v>14</v>
      </c>
      <c r="H75" s="26"/>
      <c r="I75" s="45">
        <f>E78</f>
        <v>450</v>
      </c>
      <c r="J75" s="46">
        <f>E79</f>
        <v>0.3</v>
      </c>
      <c r="K75" s="47">
        <f>I75+(I75*J75)</f>
        <v>585</v>
      </c>
      <c r="L75" s="157"/>
    </row>
    <row r="76">
      <c r="B76" s="48">
        <v>6.0</v>
      </c>
      <c r="C76" s="49" t="s">
        <v>15</v>
      </c>
      <c r="D76" s="11"/>
      <c r="E76" s="50">
        <v>60.0</v>
      </c>
      <c r="F76" s="128"/>
      <c r="G76" s="25" t="s">
        <v>16</v>
      </c>
      <c r="H76" s="26"/>
      <c r="I76" s="45">
        <f>IFERROR(I72/E80,0)</f>
        <v>12</v>
      </c>
      <c r="J76" s="51"/>
      <c r="K76" s="47">
        <f>IFERROR(K72/K78,0)</f>
        <v>15.6</v>
      </c>
      <c r="L76" s="157"/>
    </row>
    <row r="77">
      <c r="B77" s="48">
        <v>7.0</v>
      </c>
      <c r="C77" s="49" t="s">
        <v>17</v>
      </c>
      <c r="D77" s="11"/>
      <c r="E77" s="52">
        <v>0.1</v>
      </c>
      <c r="F77" s="128"/>
      <c r="G77" s="25" t="s">
        <v>18</v>
      </c>
      <c r="H77" s="26"/>
      <c r="I77" s="53">
        <f>IFERROR(I75/I73,0)</f>
        <v>6.25</v>
      </c>
      <c r="J77" s="51"/>
      <c r="K77" s="54">
        <f>IFERROR(K75/K73,0)</f>
        <v>6.25</v>
      </c>
      <c r="L77" s="157"/>
    </row>
    <row r="78">
      <c r="B78" s="55">
        <v>8.0</v>
      </c>
      <c r="C78" s="56" t="s">
        <v>19</v>
      </c>
      <c r="D78" s="11"/>
      <c r="E78" s="57">
        <v>450.0</v>
      </c>
      <c r="F78" s="163"/>
      <c r="G78" s="25" t="s">
        <v>20</v>
      </c>
      <c r="H78" s="26"/>
      <c r="I78" s="59"/>
      <c r="J78" s="51"/>
      <c r="K78" s="47">
        <f>E80+(E80*E81)</f>
        <v>15</v>
      </c>
      <c r="L78" s="157"/>
    </row>
    <row r="79">
      <c r="B79" s="55">
        <v>9.0</v>
      </c>
      <c r="C79" s="56" t="s">
        <v>21</v>
      </c>
      <c r="D79" s="11"/>
      <c r="E79" s="60">
        <v>0.3</v>
      </c>
      <c r="F79" s="145"/>
      <c r="G79" s="25" t="s">
        <v>22</v>
      </c>
      <c r="H79" s="26"/>
      <c r="I79" s="45">
        <f>IFERROR(I75/E80,0)</f>
        <v>30</v>
      </c>
      <c r="J79" s="51"/>
      <c r="K79" s="47">
        <f>IFERROR(K75/K78,0)</f>
        <v>39</v>
      </c>
      <c r="L79" s="157"/>
    </row>
    <row r="80">
      <c r="B80" s="55">
        <v>10.0</v>
      </c>
      <c r="C80" s="56" t="s">
        <v>23</v>
      </c>
      <c r="D80" s="11"/>
      <c r="E80" s="57">
        <v>15.0</v>
      </c>
      <c r="F80" s="145"/>
      <c r="G80" s="25"/>
      <c r="H80" s="26"/>
      <c r="I80" s="59"/>
      <c r="J80" s="51"/>
      <c r="K80" s="146"/>
      <c r="L80" s="157"/>
    </row>
    <row r="81">
      <c r="B81" s="55">
        <v>11.0</v>
      </c>
      <c r="C81" s="56" t="s">
        <v>24</v>
      </c>
      <c r="D81" s="11"/>
      <c r="E81" s="60"/>
      <c r="F81" s="145"/>
      <c r="G81" s="147" t="s">
        <v>30</v>
      </c>
      <c r="H81" s="26"/>
      <c r="I81" s="88"/>
      <c r="J81" s="89"/>
      <c r="K81" s="90">
        <f>(K75*28)*E82</f>
        <v>0</v>
      </c>
      <c r="L81" s="157"/>
    </row>
    <row r="82">
      <c r="B82" s="91">
        <v>12.0</v>
      </c>
      <c r="C82" s="92" t="s">
        <v>31</v>
      </c>
      <c r="D82" s="11"/>
      <c r="E82" s="93">
        <v>0.0</v>
      </c>
      <c r="F82" s="145"/>
      <c r="G82" s="147" t="s">
        <v>32</v>
      </c>
      <c r="H82" s="26"/>
      <c r="I82" s="94"/>
      <c r="J82" s="95"/>
      <c r="K82" s="90">
        <f>(K75*28)*E83</f>
        <v>0</v>
      </c>
      <c r="L82" s="157"/>
    </row>
    <row r="83">
      <c r="B83" s="96"/>
      <c r="C83" s="92" t="s">
        <v>43</v>
      </c>
      <c r="D83" s="11"/>
      <c r="E83" s="93">
        <v>0.0</v>
      </c>
      <c r="F83" s="145"/>
      <c r="G83" s="62"/>
      <c r="H83" s="63"/>
      <c r="I83" s="64"/>
      <c r="J83" s="65"/>
      <c r="K83" s="66"/>
      <c r="L83" s="157"/>
    </row>
    <row r="84">
      <c r="F84" s="129"/>
      <c r="G84" s="61"/>
      <c r="L84" s="157"/>
    </row>
    <row r="85">
      <c r="B85" s="148" t="s">
        <v>25</v>
      </c>
      <c r="C85" s="3"/>
      <c r="D85" s="3"/>
      <c r="E85" s="3"/>
      <c r="F85" s="3"/>
      <c r="G85" s="3"/>
      <c r="H85" s="3"/>
      <c r="I85" s="3"/>
      <c r="J85" s="3"/>
      <c r="K85" s="4"/>
      <c r="L85" s="157"/>
    </row>
    <row r="86">
      <c r="B86" s="5"/>
      <c r="C86" s="6"/>
      <c r="D86" s="6"/>
      <c r="E86" s="6"/>
      <c r="F86" s="6"/>
      <c r="G86" s="6"/>
      <c r="H86" s="6"/>
      <c r="I86" s="6"/>
      <c r="J86" s="6"/>
      <c r="K86" s="7"/>
      <c r="L86" s="157"/>
    </row>
    <row r="87">
      <c r="B87" s="8"/>
      <c r="C87" s="8"/>
      <c r="D87" s="8"/>
      <c r="E87" s="8"/>
      <c r="F87" s="129"/>
      <c r="G87" s="8"/>
      <c r="L87" s="157"/>
    </row>
    <row r="88">
      <c r="B88" s="8"/>
      <c r="C88" s="8"/>
      <c r="D88" s="8"/>
      <c r="E88" s="8"/>
      <c r="F88" s="129"/>
      <c r="G88" s="8"/>
      <c r="L88" s="157"/>
    </row>
    <row r="89">
      <c r="B89" s="2" t="s">
        <v>0</v>
      </c>
      <c r="C89" s="3"/>
      <c r="D89" s="3"/>
      <c r="E89" s="3"/>
      <c r="F89" s="3"/>
      <c r="G89" s="3"/>
      <c r="H89" s="3"/>
      <c r="I89" s="3"/>
      <c r="J89" s="3"/>
      <c r="K89" s="4"/>
      <c r="L89" s="157"/>
    </row>
    <row r="90">
      <c r="B90" s="5"/>
      <c r="C90" s="6"/>
      <c r="D90" s="6"/>
      <c r="E90" s="6"/>
      <c r="F90" s="6"/>
      <c r="G90" s="6"/>
      <c r="H90" s="6"/>
      <c r="I90" s="6"/>
      <c r="J90" s="6"/>
      <c r="K90" s="7"/>
      <c r="L90" s="157"/>
    </row>
    <row r="91">
      <c r="B91" s="8"/>
      <c r="C91" s="8"/>
      <c r="D91" s="8"/>
      <c r="E91" s="8"/>
      <c r="F91" s="129"/>
      <c r="G91" s="8"/>
      <c r="L91" s="157"/>
    </row>
    <row r="92">
      <c r="B92" s="9" t="s">
        <v>26</v>
      </c>
      <c r="C92" s="10"/>
      <c r="D92" s="10"/>
      <c r="E92" s="11"/>
      <c r="F92" s="128"/>
      <c r="G92" s="72" t="s">
        <v>84</v>
      </c>
      <c r="H92" s="10"/>
      <c r="I92" s="12" t="s">
        <v>2</v>
      </c>
      <c r="J92" s="13" t="s">
        <v>3</v>
      </c>
      <c r="K92" s="14" t="s">
        <v>4</v>
      </c>
      <c r="L92" s="157"/>
    </row>
    <row r="93">
      <c r="B93" s="15">
        <v>1.0</v>
      </c>
      <c r="C93" s="16" t="s">
        <v>5</v>
      </c>
      <c r="D93" s="11"/>
      <c r="E93" s="15">
        <v>989.0</v>
      </c>
      <c r="F93" s="128"/>
      <c r="G93" s="17" t="s">
        <v>6</v>
      </c>
      <c r="H93" s="18"/>
      <c r="I93" s="196">
        <f>E93</f>
        <v>989</v>
      </c>
      <c r="J93" s="20"/>
      <c r="K93" s="21"/>
      <c r="L93" s="157"/>
    </row>
    <row r="94">
      <c r="B94" s="22">
        <v>2.0</v>
      </c>
      <c r="C94" s="23" t="s">
        <v>7</v>
      </c>
      <c r="D94" s="11"/>
      <c r="E94" s="24">
        <v>0.85</v>
      </c>
      <c r="F94" s="150">
        <v>0.85</v>
      </c>
      <c r="G94" s="25" t="s">
        <v>8</v>
      </c>
      <c r="H94" s="26"/>
      <c r="I94" s="27">
        <f t="shared" ref="I94:I95" si="13">I93*J94</f>
        <v>840.65</v>
      </c>
      <c r="J94" s="28">
        <f t="shared" ref="J94:J95" si="14">E94</f>
        <v>0.85</v>
      </c>
      <c r="K94" s="29">
        <f t="shared" ref="K94:K95" si="15">I94+(I94*E96)</f>
        <v>966.7475</v>
      </c>
      <c r="L94" s="158">
        <f>K94/I93</f>
        <v>0.9775</v>
      </c>
    </row>
    <row r="95">
      <c r="B95" s="30">
        <v>3.0</v>
      </c>
      <c r="C95" s="31" t="s">
        <v>9</v>
      </c>
      <c r="D95" s="11"/>
      <c r="E95" s="32">
        <v>0.6</v>
      </c>
      <c r="F95" s="154" t="s">
        <v>36</v>
      </c>
      <c r="G95" s="25" t="s">
        <v>10</v>
      </c>
      <c r="H95" s="26"/>
      <c r="I95" s="33">
        <f t="shared" si="13"/>
        <v>504.39</v>
      </c>
      <c r="J95" s="34">
        <f t="shared" si="14"/>
        <v>0.6</v>
      </c>
      <c r="K95" s="35">
        <f t="shared" si="15"/>
        <v>807.024</v>
      </c>
      <c r="L95" s="158">
        <f>K95/K94</f>
        <v>0.8347826087</v>
      </c>
    </row>
    <row r="96">
      <c r="B96" s="36">
        <v>4.0</v>
      </c>
      <c r="C96" s="37" t="s">
        <v>11</v>
      </c>
      <c r="D96" s="11"/>
      <c r="E96" s="38">
        <v>0.15</v>
      </c>
      <c r="F96" s="128"/>
      <c r="G96" s="25" t="s">
        <v>12</v>
      </c>
      <c r="H96" s="26"/>
      <c r="I96" s="39">
        <f>E98</f>
        <v>40</v>
      </c>
      <c r="J96" s="40">
        <f>E99</f>
        <v>0.75</v>
      </c>
      <c r="K96" s="41">
        <f>I96+(I96*E99)</f>
        <v>70</v>
      </c>
      <c r="L96" s="157"/>
    </row>
    <row r="97">
      <c r="B97" s="42">
        <v>5.0</v>
      </c>
      <c r="C97" s="43" t="s">
        <v>13</v>
      </c>
      <c r="D97" s="11"/>
      <c r="E97" s="44">
        <v>0.6</v>
      </c>
      <c r="F97" s="128"/>
      <c r="G97" s="25" t="s">
        <v>14</v>
      </c>
      <c r="H97" s="26"/>
      <c r="I97" s="45">
        <f>E100</f>
        <v>1800</v>
      </c>
      <c r="J97" s="46">
        <f>E101</f>
        <v>0.4</v>
      </c>
      <c r="K97" s="47">
        <f>I97+(I97*J97)</f>
        <v>2520</v>
      </c>
      <c r="L97" s="157"/>
    </row>
    <row r="98">
      <c r="B98" s="48">
        <v>6.0</v>
      </c>
      <c r="C98" s="49" t="s">
        <v>15</v>
      </c>
      <c r="D98" s="11"/>
      <c r="E98" s="50">
        <v>40.0</v>
      </c>
      <c r="F98" s="128"/>
      <c r="G98" s="25" t="s">
        <v>16</v>
      </c>
      <c r="H98" s="26"/>
      <c r="I98" s="45">
        <f>IFERROR(I94/E102,0)</f>
        <v>93.40555556</v>
      </c>
      <c r="J98" s="51"/>
      <c r="K98" s="47">
        <f>IFERROR(K94/K100,0)</f>
        <v>89.51365741</v>
      </c>
      <c r="L98" s="157"/>
    </row>
    <row r="99">
      <c r="B99" s="48">
        <v>7.0</v>
      </c>
      <c r="C99" s="49" t="s">
        <v>17</v>
      </c>
      <c r="D99" s="11"/>
      <c r="E99" s="52">
        <v>0.75</v>
      </c>
      <c r="F99" s="128"/>
      <c r="G99" s="25" t="s">
        <v>18</v>
      </c>
      <c r="H99" s="26"/>
      <c r="I99" s="53">
        <f>IFERROR(I97/I95,0)</f>
        <v>3.568667103</v>
      </c>
      <c r="J99" s="51"/>
      <c r="K99" s="54">
        <f>IFERROR(K97/K95,0)</f>
        <v>3.122583715</v>
      </c>
      <c r="L99" s="157"/>
    </row>
    <row r="100">
      <c r="B100" s="55">
        <v>8.0</v>
      </c>
      <c r="C100" s="56" t="s">
        <v>19</v>
      </c>
      <c r="D100" s="11"/>
      <c r="E100" s="57">
        <f>600*3</f>
        <v>1800</v>
      </c>
      <c r="F100" s="163"/>
      <c r="G100" s="25" t="s">
        <v>20</v>
      </c>
      <c r="H100" s="26"/>
      <c r="I100" s="59"/>
      <c r="J100" s="51"/>
      <c r="K100" s="47">
        <f>E102+(E102*E103)</f>
        <v>10.8</v>
      </c>
      <c r="L100" s="157"/>
    </row>
    <row r="101">
      <c r="B101" s="55">
        <v>9.0</v>
      </c>
      <c r="C101" s="56" t="s">
        <v>21</v>
      </c>
      <c r="D101" s="11"/>
      <c r="E101" s="60">
        <v>0.4</v>
      </c>
      <c r="F101" s="145"/>
      <c r="G101" s="25" t="s">
        <v>22</v>
      </c>
      <c r="H101" s="26"/>
      <c r="I101" s="45">
        <f>IFERROR(I97/E102,0)</f>
        <v>200</v>
      </c>
      <c r="J101" s="51"/>
      <c r="K101" s="47">
        <f>IFERROR(K97/K100,0)</f>
        <v>233.3333333</v>
      </c>
      <c r="L101" s="157"/>
    </row>
    <row r="102">
      <c r="B102" s="55">
        <v>10.0</v>
      </c>
      <c r="C102" s="56" t="s">
        <v>23</v>
      </c>
      <c r="D102" s="11"/>
      <c r="E102" s="57">
        <v>9.0</v>
      </c>
      <c r="F102" s="145"/>
      <c r="G102" s="25"/>
      <c r="H102" s="26"/>
      <c r="I102" s="59"/>
      <c r="J102" s="51"/>
      <c r="K102" s="146"/>
      <c r="L102" s="157"/>
    </row>
    <row r="103">
      <c r="B103" s="55">
        <v>11.0</v>
      </c>
      <c r="C103" s="56" t="s">
        <v>24</v>
      </c>
      <c r="D103" s="11"/>
      <c r="E103" s="60">
        <v>0.2</v>
      </c>
      <c r="F103" s="145"/>
      <c r="G103" s="147" t="s">
        <v>30</v>
      </c>
      <c r="H103" s="26"/>
      <c r="I103" s="88"/>
      <c r="J103" s="89"/>
      <c r="K103" s="90">
        <f>(K97*28)*E104</f>
        <v>12700.8</v>
      </c>
      <c r="L103" s="157"/>
    </row>
    <row r="104">
      <c r="B104" s="91">
        <v>12.0</v>
      </c>
      <c r="C104" s="92" t="s">
        <v>31</v>
      </c>
      <c r="D104" s="11"/>
      <c r="E104" s="93">
        <v>0.18</v>
      </c>
      <c r="F104" s="145"/>
      <c r="G104" s="147" t="s">
        <v>32</v>
      </c>
      <c r="H104" s="26"/>
      <c r="I104" s="94"/>
      <c r="J104" s="95"/>
      <c r="K104" s="90">
        <f>(K97*28)*E105</f>
        <v>705.6</v>
      </c>
      <c r="L104" s="157"/>
    </row>
    <row r="105">
      <c r="B105" s="96"/>
      <c r="C105" s="92" t="s">
        <v>43</v>
      </c>
      <c r="D105" s="11"/>
      <c r="E105" s="93">
        <v>0.01</v>
      </c>
      <c r="F105" s="145"/>
      <c r="G105" s="62"/>
      <c r="H105" s="63"/>
      <c r="I105" s="64"/>
      <c r="J105" s="65"/>
      <c r="K105" s="66"/>
      <c r="L105" s="157"/>
    </row>
    <row r="106">
      <c r="F106" s="129"/>
      <c r="G106" s="61"/>
      <c r="L106" s="157"/>
    </row>
    <row r="107">
      <c r="B107" s="148" t="s">
        <v>25</v>
      </c>
      <c r="C107" s="3"/>
      <c r="D107" s="3"/>
      <c r="E107" s="3"/>
      <c r="F107" s="3"/>
      <c r="G107" s="3"/>
      <c r="H107" s="3"/>
      <c r="I107" s="3"/>
      <c r="J107" s="3"/>
      <c r="K107" s="4"/>
      <c r="L107" s="157"/>
    </row>
    <row r="108">
      <c r="B108" s="5"/>
      <c r="C108" s="6"/>
      <c r="D108" s="6"/>
      <c r="E108" s="6"/>
      <c r="F108" s="6"/>
      <c r="G108" s="6"/>
      <c r="H108" s="6"/>
      <c r="I108" s="6"/>
      <c r="J108" s="6"/>
      <c r="K108" s="7"/>
      <c r="L108" s="157"/>
    </row>
    <row r="109">
      <c r="B109" s="8"/>
      <c r="C109" s="8"/>
      <c r="D109" s="8"/>
      <c r="E109" s="8"/>
      <c r="F109" s="129"/>
      <c r="G109" s="8"/>
      <c r="L109" s="157"/>
    </row>
    <row r="110">
      <c r="B110" s="197" t="s">
        <v>85</v>
      </c>
      <c r="D110" s="8"/>
      <c r="E110" s="8"/>
      <c r="F110" s="129"/>
      <c r="G110" s="8"/>
      <c r="L110" s="157"/>
    </row>
    <row r="111">
      <c r="B111" s="2" t="s">
        <v>0</v>
      </c>
      <c r="C111" s="3"/>
      <c r="D111" s="3"/>
      <c r="E111" s="3"/>
      <c r="F111" s="3"/>
      <c r="G111" s="3"/>
      <c r="H111" s="3"/>
      <c r="I111" s="3"/>
      <c r="J111" s="3"/>
      <c r="K111" s="4"/>
      <c r="L111" s="157"/>
    </row>
    <row r="112">
      <c r="B112" s="5"/>
      <c r="C112" s="6"/>
      <c r="D112" s="6"/>
      <c r="E112" s="6"/>
      <c r="F112" s="6"/>
      <c r="G112" s="6"/>
      <c r="H112" s="6"/>
      <c r="I112" s="6"/>
      <c r="J112" s="6"/>
      <c r="K112" s="7"/>
      <c r="L112" s="157"/>
    </row>
    <row r="113">
      <c r="B113" s="8"/>
      <c r="C113" s="8"/>
      <c r="D113" s="8"/>
      <c r="E113" s="8"/>
      <c r="F113" s="129"/>
      <c r="G113" s="8"/>
      <c r="L113" s="157"/>
    </row>
    <row r="114">
      <c r="B114" s="9" t="s">
        <v>86</v>
      </c>
      <c r="C114" s="10"/>
      <c r="D114" s="10"/>
      <c r="E114" s="11"/>
      <c r="F114" s="128"/>
      <c r="G114" s="72" t="s">
        <v>87</v>
      </c>
      <c r="H114" s="10"/>
      <c r="I114" s="12" t="s">
        <v>2</v>
      </c>
      <c r="J114" s="13" t="s">
        <v>3</v>
      </c>
      <c r="K114" s="14" t="s">
        <v>4</v>
      </c>
      <c r="L114" s="157"/>
    </row>
    <row r="115">
      <c r="B115" s="15">
        <v>1.0</v>
      </c>
      <c r="C115" s="16" t="s">
        <v>5</v>
      </c>
      <c r="D115" s="11"/>
      <c r="E115" s="15">
        <v>989.0</v>
      </c>
      <c r="F115" s="128"/>
      <c r="G115" s="17" t="s">
        <v>6</v>
      </c>
      <c r="H115" s="18"/>
      <c r="I115" s="196">
        <f>E115</f>
        <v>989</v>
      </c>
      <c r="J115" s="20"/>
      <c r="K115" s="21"/>
      <c r="L115" s="157"/>
    </row>
    <row r="116">
      <c r="B116" s="22">
        <v>2.0</v>
      </c>
      <c r="C116" s="23" t="s">
        <v>7</v>
      </c>
      <c r="D116" s="11"/>
      <c r="E116" s="24">
        <v>0.85</v>
      </c>
      <c r="F116" s="150">
        <v>0.85</v>
      </c>
      <c r="G116" s="25" t="s">
        <v>8</v>
      </c>
      <c r="H116" s="26"/>
      <c r="I116" s="27">
        <f t="shared" ref="I116:I117" si="16">I115*J116</f>
        <v>840.65</v>
      </c>
      <c r="J116" s="28">
        <f t="shared" ref="J116:J117" si="17">E116</f>
        <v>0.85</v>
      </c>
      <c r="K116" s="29">
        <f t="shared" ref="K116:K117" si="18">I116+(I116*E118)</f>
        <v>966.7475</v>
      </c>
      <c r="L116" s="157"/>
    </row>
    <row r="117">
      <c r="B117" s="30">
        <v>3.0</v>
      </c>
      <c r="C117" s="31" t="s">
        <v>9</v>
      </c>
      <c r="D117" s="11"/>
      <c r="E117" s="32">
        <v>0.6</v>
      </c>
      <c r="F117" s="154" t="s">
        <v>36</v>
      </c>
      <c r="G117" s="25" t="s">
        <v>10</v>
      </c>
      <c r="H117" s="26"/>
      <c r="I117" s="33">
        <f t="shared" si="16"/>
        <v>504.39</v>
      </c>
      <c r="J117" s="34">
        <f t="shared" si="17"/>
        <v>0.6</v>
      </c>
      <c r="K117" s="35">
        <f t="shared" si="18"/>
        <v>807.024</v>
      </c>
      <c r="L117" s="157"/>
    </row>
    <row r="118">
      <c r="B118" s="36">
        <v>4.0</v>
      </c>
      <c r="C118" s="37" t="s">
        <v>11</v>
      </c>
      <c r="D118" s="11"/>
      <c r="E118" s="38">
        <v>0.15</v>
      </c>
      <c r="F118" s="128"/>
      <c r="G118" s="25" t="s">
        <v>12</v>
      </c>
      <c r="H118" s="26"/>
      <c r="I118" s="39">
        <f>E120</f>
        <v>40</v>
      </c>
      <c r="J118" s="40">
        <f>E121</f>
        <v>0.75</v>
      </c>
      <c r="K118" s="41">
        <f>I118+(I118*E121)</f>
        <v>70</v>
      </c>
      <c r="L118" s="157"/>
    </row>
    <row r="119">
      <c r="B119" s="42">
        <v>5.0</v>
      </c>
      <c r="C119" s="43" t="s">
        <v>13</v>
      </c>
      <c r="D119" s="11"/>
      <c r="E119" s="44">
        <v>0.6</v>
      </c>
      <c r="F119" s="128"/>
      <c r="G119" s="25" t="s">
        <v>14</v>
      </c>
      <c r="H119" s="26"/>
      <c r="I119" s="45">
        <f>E122</f>
        <v>1800</v>
      </c>
      <c r="J119" s="46">
        <f>E123</f>
        <v>0.4</v>
      </c>
      <c r="K119" s="47">
        <f>I119+(I119*J119)</f>
        <v>2520</v>
      </c>
      <c r="L119" s="157"/>
    </row>
    <row r="120">
      <c r="B120" s="48">
        <v>6.0</v>
      </c>
      <c r="C120" s="49" t="s">
        <v>15</v>
      </c>
      <c r="D120" s="11"/>
      <c r="E120" s="50">
        <v>40.0</v>
      </c>
      <c r="F120" s="128"/>
      <c r="G120" s="25" t="s">
        <v>16</v>
      </c>
      <c r="H120" s="26"/>
      <c r="I120" s="45">
        <f>IFERROR(I116/E124,0)</f>
        <v>93.40555556</v>
      </c>
      <c r="J120" s="51"/>
      <c r="K120" s="47">
        <f>IFERROR(K116/K122,0)</f>
        <v>89.51365741</v>
      </c>
      <c r="L120" s="157"/>
    </row>
    <row r="121">
      <c r="B121" s="48">
        <v>7.0</v>
      </c>
      <c r="C121" s="49" t="s">
        <v>17</v>
      </c>
      <c r="D121" s="11"/>
      <c r="E121" s="52">
        <v>0.75</v>
      </c>
      <c r="F121" s="128"/>
      <c r="G121" s="25" t="s">
        <v>18</v>
      </c>
      <c r="H121" s="26"/>
      <c r="I121" s="53">
        <f>IFERROR(I119/I117,0)</f>
        <v>3.568667103</v>
      </c>
      <c r="J121" s="51"/>
      <c r="K121" s="54">
        <f>IFERROR(K119/K117,0)</f>
        <v>3.122583715</v>
      </c>
      <c r="L121" s="157"/>
    </row>
    <row r="122">
      <c r="B122" s="55">
        <v>8.0</v>
      </c>
      <c r="C122" s="56" t="s">
        <v>19</v>
      </c>
      <c r="D122" s="11"/>
      <c r="E122" s="57">
        <f>600*3</f>
        <v>1800</v>
      </c>
      <c r="F122" s="163"/>
      <c r="G122" s="25" t="s">
        <v>20</v>
      </c>
      <c r="H122" s="26"/>
      <c r="I122" s="59"/>
      <c r="J122" s="51"/>
      <c r="K122" s="47">
        <f>E124+(E124*E125)</f>
        <v>10.8</v>
      </c>
      <c r="L122" s="157"/>
    </row>
    <row r="123">
      <c r="B123" s="55">
        <v>9.0</v>
      </c>
      <c r="C123" s="56" t="s">
        <v>21</v>
      </c>
      <c r="D123" s="11"/>
      <c r="E123" s="60">
        <v>0.4</v>
      </c>
      <c r="F123" s="145"/>
      <c r="G123" s="25" t="s">
        <v>22</v>
      </c>
      <c r="H123" s="26"/>
      <c r="I123" s="45">
        <f>IFERROR(I119/E124,0)</f>
        <v>200</v>
      </c>
      <c r="J123" s="51"/>
      <c r="K123" s="47">
        <f>IFERROR(K119/K122,0)</f>
        <v>233.3333333</v>
      </c>
      <c r="L123" s="157"/>
    </row>
    <row r="124">
      <c r="B124" s="55">
        <v>10.0</v>
      </c>
      <c r="C124" s="56" t="s">
        <v>23</v>
      </c>
      <c r="D124" s="11"/>
      <c r="E124" s="57">
        <v>9.0</v>
      </c>
      <c r="F124" s="145"/>
      <c r="G124" s="25"/>
      <c r="H124" s="26"/>
      <c r="I124" s="59"/>
      <c r="J124" s="51"/>
      <c r="K124" s="146"/>
      <c r="L124" s="157"/>
    </row>
    <row r="125">
      <c r="B125" s="55">
        <v>11.0</v>
      </c>
      <c r="C125" s="56" t="s">
        <v>24</v>
      </c>
      <c r="D125" s="11"/>
      <c r="E125" s="60">
        <v>0.2</v>
      </c>
      <c r="F125" s="145"/>
      <c r="G125" s="147" t="s">
        <v>30</v>
      </c>
      <c r="H125" s="26"/>
      <c r="I125" s="88"/>
      <c r="J125" s="89"/>
      <c r="K125" s="90">
        <f>(K119*28)*E126</f>
        <v>12700.8</v>
      </c>
      <c r="L125" s="157"/>
    </row>
    <row r="126">
      <c r="B126" s="91">
        <v>12.0</v>
      </c>
      <c r="C126" s="92" t="s">
        <v>31</v>
      </c>
      <c r="D126" s="11"/>
      <c r="E126" s="93">
        <v>0.18</v>
      </c>
      <c r="F126" s="145"/>
      <c r="G126" s="147" t="s">
        <v>32</v>
      </c>
      <c r="H126" s="26"/>
      <c r="I126" s="94"/>
      <c r="J126" s="95"/>
      <c r="K126" s="90">
        <f>(K119*28)*E127</f>
        <v>705.6</v>
      </c>
      <c r="L126" s="157"/>
    </row>
    <row r="127">
      <c r="B127" s="96"/>
      <c r="C127" s="92" t="s">
        <v>43</v>
      </c>
      <c r="D127" s="11"/>
      <c r="E127" s="93">
        <v>0.01</v>
      </c>
      <c r="F127" s="145"/>
      <c r="G127" s="62"/>
      <c r="H127" s="63"/>
      <c r="I127" s="64"/>
      <c r="J127" s="65"/>
      <c r="K127" s="66"/>
      <c r="L127" s="157"/>
    </row>
    <row r="128">
      <c r="F128" s="129"/>
      <c r="G128" s="61"/>
      <c r="L128" s="157"/>
    </row>
    <row r="129">
      <c r="B129" s="148" t="s">
        <v>25</v>
      </c>
      <c r="C129" s="3"/>
      <c r="D129" s="3"/>
      <c r="E129" s="3"/>
      <c r="F129" s="3"/>
      <c r="G129" s="3"/>
      <c r="H129" s="3"/>
      <c r="I129" s="3"/>
      <c r="J129" s="3"/>
      <c r="K129" s="4"/>
      <c r="L129" s="157"/>
    </row>
    <row r="130">
      <c r="B130" s="5"/>
      <c r="C130" s="6"/>
      <c r="D130" s="6"/>
      <c r="E130" s="6"/>
      <c r="F130" s="6"/>
      <c r="G130" s="6"/>
      <c r="H130" s="6"/>
      <c r="I130" s="6"/>
      <c r="J130" s="6"/>
      <c r="K130" s="7"/>
      <c r="L130" s="157"/>
    </row>
    <row r="131">
      <c r="B131" s="8"/>
      <c r="C131" s="8"/>
      <c r="D131" s="8"/>
      <c r="E131" s="8"/>
      <c r="F131" s="129"/>
      <c r="G131" s="8"/>
      <c r="L131" s="157"/>
    </row>
    <row r="132">
      <c r="B132" s="197" t="s">
        <v>85</v>
      </c>
      <c r="D132" s="8"/>
      <c r="E132" s="8"/>
      <c r="F132" s="129"/>
      <c r="G132" s="8"/>
      <c r="L132" s="157"/>
    </row>
    <row r="133">
      <c r="B133" s="2" t="s">
        <v>0</v>
      </c>
      <c r="C133" s="3"/>
      <c r="D133" s="3"/>
      <c r="E133" s="3"/>
      <c r="F133" s="3"/>
      <c r="G133" s="3"/>
      <c r="H133" s="3"/>
      <c r="I133" s="3"/>
      <c r="J133" s="3"/>
      <c r="K133" s="4"/>
      <c r="L133" s="157"/>
    </row>
    <row r="134">
      <c r="B134" s="5"/>
      <c r="C134" s="6"/>
      <c r="D134" s="6"/>
      <c r="E134" s="6"/>
      <c r="F134" s="6"/>
      <c r="G134" s="6"/>
      <c r="H134" s="6"/>
      <c r="I134" s="6"/>
      <c r="J134" s="6"/>
      <c r="K134" s="7"/>
      <c r="L134" s="157"/>
    </row>
    <row r="135">
      <c r="B135" s="8"/>
      <c r="C135" s="8"/>
      <c r="D135" s="8"/>
      <c r="E135" s="8"/>
      <c r="F135" s="129"/>
      <c r="G135" s="8"/>
      <c r="L135" s="157"/>
    </row>
    <row r="136">
      <c r="B136" s="9" t="s">
        <v>86</v>
      </c>
      <c r="C136" s="10"/>
      <c r="D136" s="10"/>
      <c r="E136" s="11"/>
      <c r="F136" s="128"/>
      <c r="G136" s="72" t="s">
        <v>88</v>
      </c>
      <c r="H136" s="10"/>
      <c r="I136" s="12" t="s">
        <v>2</v>
      </c>
      <c r="J136" s="13" t="s">
        <v>3</v>
      </c>
      <c r="K136" s="14" t="s">
        <v>4</v>
      </c>
      <c r="L136" s="157"/>
    </row>
    <row r="137">
      <c r="B137" s="15">
        <v>1.0</v>
      </c>
      <c r="C137" s="16" t="s">
        <v>5</v>
      </c>
      <c r="D137" s="11"/>
      <c r="E137" s="15">
        <v>989.0</v>
      </c>
      <c r="F137" s="128"/>
      <c r="G137" s="17" t="s">
        <v>6</v>
      </c>
      <c r="H137" s="18"/>
      <c r="I137" s="196">
        <f>E137</f>
        <v>989</v>
      </c>
      <c r="J137" s="20"/>
      <c r="K137" s="21"/>
      <c r="L137" s="157"/>
    </row>
    <row r="138">
      <c r="B138" s="22">
        <v>2.0</v>
      </c>
      <c r="C138" s="23" t="s">
        <v>7</v>
      </c>
      <c r="D138" s="11"/>
      <c r="E138" s="24">
        <v>0.85</v>
      </c>
      <c r="F138" s="150">
        <v>0.85</v>
      </c>
      <c r="G138" s="25" t="s">
        <v>8</v>
      </c>
      <c r="H138" s="26"/>
      <c r="I138" s="27">
        <f t="shared" ref="I138:I139" si="19">I137*J138</f>
        <v>840.65</v>
      </c>
      <c r="J138" s="28">
        <f t="shared" ref="J138:J139" si="20">E138</f>
        <v>0.85</v>
      </c>
      <c r="K138" s="29">
        <f t="shared" ref="K138:K139" si="21">I138+(I138*E140)</f>
        <v>966.7475</v>
      </c>
      <c r="L138" s="157"/>
    </row>
    <row r="139">
      <c r="B139" s="30">
        <v>3.0</v>
      </c>
      <c r="C139" s="31" t="s">
        <v>9</v>
      </c>
      <c r="D139" s="11"/>
      <c r="E139" s="32">
        <v>0.6</v>
      </c>
      <c r="F139" s="154" t="s">
        <v>36</v>
      </c>
      <c r="G139" s="25" t="s">
        <v>10</v>
      </c>
      <c r="H139" s="26"/>
      <c r="I139" s="33">
        <f t="shared" si="19"/>
        <v>504.39</v>
      </c>
      <c r="J139" s="34">
        <f t="shared" si="20"/>
        <v>0.6</v>
      </c>
      <c r="K139" s="35">
        <f t="shared" si="21"/>
        <v>807.024</v>
      </c>
      <c r="L139" s="157"/>
    </row>
    <row r="140">
      <c r="B140" s="36">
        <v>4.0</v>
      </c>
      <c r="C140" s="37" t="s">
        <v>11</v>
      </c>
      <c r="D140" s="11"/>
      <c r="E140" s="38">
        <v>0.15</v>
      </c>
      <c r="F140" s="128"/>
      <c r="G140" s="25" t="s">
        <v>12</v>
      </c>
      <c r="H140" s="26"/>
      <c r="I140" s="39">
        <f>E142</f>
        <v>40</v>
      </c>
      <c r="J140" s="40">
        <f>E143</f>
        <v>0.75</v>
      </c>
      <c r="K140" s="41">
        <f>I140+(I140*E143)</f>
        <v>70</v>
      </c>
      <c r="L140" s="157"/>
    </row>
    <row r="141">
      <c r="B141" s="42">
        <v>5.0</v>
      </c>
      <c r="C141" s="43" t="s">
        <v>13</v>
      </c>
      <c r="D141" s="11"/>
      <c r="E141" s="44">
        <v>0.6</v>
      </c>
      <c r="F141" s="128"/>
      <c r="G141" s="25" t="s">
        <v>14</v>
      </c>
      <c r="H141" s="26"/>
      <c r="I141" s="45">
        <f>E144</f>
        <v>1800</v>
      </c>
      <c r="J141" s="46">
        <f>E145</f>
        <v>0.4</v>
      </c>
      <c r="K141" s="47">
        <f>I141+(I141*J141)</f>
        <v>2520</v>
      </c>
      <c r="L141" s="157"/>
    </row>
    <row r="142">
      <c r="B142" s="48">
        <v>6.0</v>
      </c>
      <c r="C142" s="49" t="s">
        <v>15</v>
      </c>
      <c r="D142" s="11"/>
      <c r="E142" s="50">
        <v>40.0</v>
      </c>
      <c r="F142" s="128"/>
      <c r="G142" s="25" t="s">
        <v>16</v>
      </c>
      <c r="H142" s="26"/>
      <c r="I142" s="45">
        <f>IFERROR(I138/E146,0)</f>
        <v>93.40555556</v>
      </c>
      <c r="J142" s="51"/>
      <c r="K142" s="47">
        <f>IFERROR(K138/K144,0)</f>
        <v>89.51365741</v>
      </c>
      <c r="L142" s="157"/>
    </row>
    <row r="143">
      <c r="B143" s="48">
        <v>7.0</v>
      </c>
      <c r="C143" s="49" t="s">
        <v>17</v>
      </c>
      <c r="D143" s="11"/>
      <c r="E143" s="52">
        <v>0.75</v>
      </c>
      <c r="F143" s="128"/>
      <c r="G143" s="25" t="s">
        <v>18</v>
      </c>
      <c r="H143" s="26"/>
      <c r="I143" s="53">
        <f>IFERROR(I141/I139,0)</f>
        <v>3.568667103</v>
      </c>
      <c r="J143" s="51"/>
      <c r="K143" s="54">
        <f>IFERROR(K141/K139,0)</f>
        <v>3.122583715</v>
      </c>
      <c r="L143" s="157"/>
    </row>
    <row r="144">
      <c r="B144" s="55">
        <v>8.0</v>
      </c>
      <c r="C144" s="56" t="s">
        <v>19</v>
      </c>
      <c r="D144" s="11"/>
      <c r="E144" s="57">
        <f>600*3</f>
        <v>1800</v>
      </c>
      <c r="F144" s="163"/>
      <c r="G144" s="25" t="s">
        <v>20</v>
      </c>
      <c r="H144" s="26"/>
      <c r="I144" s="59"/>
      <c r="J144" s="51"/>
      <c r="K144" s="47">
        <f>E146+(E146*E147)</f>
        <v>10.8</v>
      </c>
      <c r="L144" s="157"/>
    </row>
    <row r="145">
      <c r="B145" s="55">
        <v>9.0</v>
      </c>
      <c r="C145" s="56" t="s">
        <v>21</v>
      </c>
      <c r="D145" s="11"/>
      <c r="E145" s="60">
        <v>0.4</v>
      </c>
      <c r="F145" s="145"/>
      <c r="G145" s="25" t="s">
        <v>22</v>
      </c>
      <c r="H145" s="26"/>
      <c r="I145" s="45">
        <f>IFERROR(I141/E146,0)</f>
        <v>200</v>
      </c>
      <c r="J145" s="51"/>
      <c r="K145" s="47">
        <f>IFERROR(K141/K144,0)</f>
        <v>233.3333333</v>
      </c>
      <c r="L145" s="157"/>
    </row>
    <row r="146">
      <c r="B146" s="55">
        <v>10.0</v>
      </c>
      <c r="C146" s="56" t="s">
        <v>23</v>
      </c>
      <c r="D146" s="11"/>
      <c r="E146" s="57">
        <v>9.0</v>
      </c>
      <c r="F146" s="145"/>
      <c r="G146" s="25"/>
      <c r="H146" s="26"/>
      <c r="I146" s="59"/>
      <c r="J146" s="51"/>
      <c r="K146" s="146"/>
      <c r="L146" s="157"/>
    </row>
    <row r="147">
      <c r="B147" s="55">
        <v>11.0</v>
      </c>
      <c r="C147" s="56" t="s">
        <v>24</v>
      </c>
      <c r="D147" s="11"/>
      <c r="E147" s="60">
        <v>0.2</v>
      </c>
      <c r="F147" s="145"/>
      <c r="G147" s="147" t="s">
        <v>30</v>
      </c>
      <c r="H147" s="26"/>
      <c r="I147" s="88"/>
      <c r="J147" s="89"/>
      <c r="K147" s="90">
        <f>(K141*28)*E148</f>
        <v>12700.8</v>
      </c>
      <c r="L147" s="157"/>
    </row>
    <row r="148">
      <c r="B148" s="91">
        <v>12.0</v>
      </c>
      <c r="C148" s="92" t="s">
        <v>31</v>
      </c>
      <c r="D148" s="11"/>
      <c r="E148" s="93">
        <v>0.18</v>
      </c>
      <c r="F148" s="145"/>
      <c r="G148" s="147" t="s">
        <v>32</v>
      </c>
      <c r="H148" s="26"/>
      <c r="I148" s="94"/>
      <c r="J148" s="95"/>
      <c r="K148" s="90">
        <f>(K141*28)*E149</f>
        <v>705.6</v>
      </c>
      <c r="L148" s="157"/>
    </row>
    <row r="149">
      <c r="B149" s="96"/>
      <c r="C149" s="92" t="s">
        <v>43</v>
      </c>
      <c r="D149" s="11"/>
      <c r="E149" s="93">
        <v>0.01</v>
      </c>
      <c r="F149" s="145"/>
      <c r="G149" s="62"/>
      <c r="H149" s="63"/>
      <c r="I149" s="64"/>
      <c r="J149" s="65"/>
      <c r="K149" s="66"/>
      <c r="L149" s="157"/>
    </row>
    <row r="150">
      <c r="F150" s="129"/>
      <c r="G150" s="61"/>
      <c r="L150" s="157"/>
    </row>
    <row r="151">
      <c r="B151" s="148" t="s">
        <v>25</v>
      </c>
      <c r="C151" s="3"/>
      <c r="D151" s="3"/>
      <c r="E151" s="3"/>
      <c r="F151" s="3"/>
      <c r="G151" s="3"/>
      <c r="H151" s="3"/>
      <c r="I151" s="3"/>
      <c r="J151" s="3"/>
      <c r="K151" s="4"/>
      <c r="L151" s="157"/>
    </row>
    <row r="152">
      <c r="B152" s="5"/>
      <c r="C152" s="6"/>
      <c r="D152" s="6"/>
      <c r="E152" s="6"/>
      <c r="F152" s="6"/>
      <c r="G152" s="6"/>
      <c r="H152" s="6"/>
      <c r="I152" s="6"/>
      <c r="J152" s="6"/>
      <c r="K152" s="7"/>
      <c r="L152" s="157"/>
    </row>
    <row r="153">
      <c r="B153" s="8"/>
      <c r="C153" s="8"/>
      <c r="D153" s="8"/>
      <c r="E153" s="8"/>
      <c r="F153" s="129"/>
      <c r="G153" s="8"/>
      <c r="L153" s="157"/>
    </row>
    <row r="154">
      <c r="B154" s="8"/>
      <c r="C154" s="8"/>
      <c r="D154" s="8"/>
      <c r="E154" s="8"/>
      <c r="F154" s="129"/>
      <c r="G154" s="8"/>
      <c r="L154" s="157"/>
    </row>
    <row r="155">
      <c r="B155" s="8"/>
      <c r="C155" s="8"/>
      <c r="D155" s="8"/>
      <c r="E155" s="8"/>
      <c r="F155" s="129"/>
      <c r="G155" s="8"/>
      <c r="L155" s="157"/>
    </row>
    <row r="156">
      <c r="B156" s="8"/>
      <c r="C156" s="8"/>
      <c r="D156" s="8"/>
      <c r="E156" s="8"/>
      <c r="F156" s="129"/>
      <c r="G156" s="8"/>
      <c r="L156" s="157"/>
    </row>
    <row r="157">
      <c r="B157" s="8"/>
      <c r="C157" s="8"/>
      <c r="D157" s="8"/>
      <c r="E157" s="8"/>
      <c r="F157" s="129"/>
      <c r="G157" s="8"/>
      <c r="L157" s="157"/>
    </row>
    <row r="158">
      <c r="B158" s="8"/>
      <c r="C158" s="8"/>
      <c r="D158" s="8"/>
      <c r="E158" s="8"/>
      <c r="F158" s="129"/>
      <c r="G158" s="8"/>
      <c r="L158" s="157"/>
    </row>
    <row r="159">
      <c r="B159" s="8"/>
      <c r="C159" s="8"/>
      <c r="D159" s="8"/>
      <c r="E159" s="8"/>
      <c r="F159" s="129"/>
      <c r="G159" s="8"/>
      <c r="L159" s="157"/>
    </row>
    <row r="160">
      <c r="B160" s="8"/>
      <c r="C160" s="8"/>
      <c r="D160" s="8"/>
      <c r="E160" s="8"/>
      <c r="F160" s="129"/>
      <c r="G160" s="8"/>
      <c r="L160" s="157"/>
    </row>
    <row r="161">
      <c r="B161" s="8"/>
      <c r="C161" s="8"/>
      <c r="D161" s="8"/>
      <c r="E161" s="8"/>
      <c r="F161" s="129"/>
      <c r="G161" s="8"/>
      <c r="L161" s="157"/>
    </row>
    <row r="162">
      <c r="B162" s="8"/>
      <c r="C162" s="8"/>
      <c r="D162" s="8"/>
      <c r="E162" s="8"/>
      <c r="F162" s="129"/>
      <c r="G162" s="8"/>
      <c r="L162" s="157"/>
    </row>
    <row r="163">
      <c r="B163" s="8"/>
      <c r="C163" s="8"/>
      <c r="D163" s="8"/>
      <c r="E163" s="8"/>
      <c r="F163" s="129"/>
      <c r="G163" s="8"/>
      <c r="L163" s="157"/>
    </row>
    <row r="164">
      <c r="B164" s="8"/>
      <c r="C164" s="8"/>
      <c r="D164" s="8"/>
      <c r="E164" s="8"/>
      <c r="F164" s="129"/>
      <c r="G164" s="8"/>
      <c r="L164" s="157"/>
    </row>
    <row r="165">
      <c r="B165" s="8"/>
      <c r="C165" s="8"/>
      <c r="D165" s="8"/>
      <c r="E165" s="8"/>
      <c r="F165" s="129"/>
      <c r="G165" s="8"/>
      <c r="L165" s="157"/>
    </row>
    <row r="166">
      <c r="B166" s="8"/>
      <c r="C166" s="8"/>
      <c r="D166" s="8"/>
      <c r="E166" s="8"/>
      <c r="F166" s="129"/>
      <c r="G166" s="8"/>
      <c r="L166" s="157"/>
    </row>
    <row r="167">
      <c r="B167" s="8"/>
      <c r="C167" s="8"/>
      <c r="D167" s="8"/>
      <c r="E167" s="8"/>
      <c r="F167" s="129"/>
      <c r="G167" s="8"/>
      <c r="L167" s="157"/>
    </row>
    <row r="168">
      <c r="B168" s="8"/>
      <c r="C168" s="8"/>
      <c r="D168" s="8"/>
      <c r="E168" s="8"/>
      <c r="F168" s="129"/>
      <c r="G168" s="8"/>
      <c r="L168" s="157"/>
    </row>
    <row r="169">
      <c r="B169" s="8"/>
      <c r="C169" s="8"/>
      <c r="D169" s="8"/>
      <c r="E169" s="8"/>
      <c r="F169" s="129"/>
      <c r="G169" s="8"/>
      <c r="L169" s="157"/>
    </row>
    <row r="170">
      <c r="B170" s="8"/>
      <c r="C170" s="8"/>
      <c r="D170" s="8"/>
      <c r="E170" s="8"/>
      <c r="F170" s="129"/>
      <c r="G170" s="8"/>
      <c r="L170" s="157"/>
    </row>
    <row r="171">
      <c r="B171" s="8"/>
      <c r="C171" s="8"/>
      <c r="D171" s="8"/>
      <c r="E171" s="8"/>
      <c r="F171" s="129"/>
      <c r="G171" s="8"/>
      <c r="L171" s="157"/>
    </row>
    <row r="172">
      <c r="B172" s="8"/>
      <c r="C172" s="8"/>
      <c r="D172" s="8"/>
      <c r="E172" s="8"/>
      <c r="F172" s="129"/>
      <c r="G172" s="8"/>
      <c r="L172" s="157"/>
    </row>
    <row r="173">
      <c r="B173" s="8"/>
      <c r="C173" s="8"/>
      <c r="D173" s="8"/>
      <c r="E173" s="8"/>
      <c r="F173" s="129"/>
      <c r="G173" s="8"/>
      <c r="L173" s="157"/>
    </row>
    <row r="174">
      <c r="B174" s="8"/>
      <c r="C174" s="8"/>
      <c r="D174" s="8"/>
      <c r="E174" s="8"/>
      <c r="F174" s="129"/>
      <c r="G174" s="8"/>
      <c r="L174" s="157"/>
    </row>
    <row r="175">
      <c r="B175" s="8"/>
      <c r="C175" s="8"/>
      <c r="D175" s="8"/>
      <c r="E175" s="8"/>
      <c r="F175" s="129"/>
      <c r="G175" s="8"/>
      <c r="L175" s="157"/>
    </row>
    <row r="176">
      <c r="B176" s="8"/>
      <c r="C176" s="8"/>
      <c r="D176" s="8"/>
      <c r="E176" s="8"/>
      <c r="F176" s="129"/>
      <c r="G176" s="8"/>
      <c r="L176" s="157"/>
    </row>
    <row r="177">
      <c r="B177" s="8"/>
      <c r="C177" s="8"/>
      <c r="D177" s="8"/>
      <c r="E177" s="8"/>
      <c r="F177" s="129"/>
      <c r="G177" s="8"/>
      <c r="L177" s="157"/>
    </row>
    <row r="178">
      <c r="B178" s="8"/>
      <c r="C178" s="8"/>
      <c r="D178" s="8"/>
      <c r="E178" s="8"/>
      <c r="F178" s="129"/>
      <c r="G178" s="8"/>
      <c r="L178" s="157"/>
    </row>
    <row r="179">
      <c r="B179" s="8"/>
      <c r="C179" s="8"/>
      <c r="D179" s="8"/>
      <c r="E179" s="8"/>
      <c r="F179" s="129"/>
      <c r="G179" s="8"/>
      <c r="L179" s="157"/>
    </row>
    <row r="180">
      <c r="B180" s="8"/>
      <c r="C180" s="8"/>
      <c r="D180" s="8"/>
      <c r="E180" s="8"/>
      <c r="F180" s="129"/>
      <c r="G180" s="8"/>
      <c r="L180" s="157"/>
    </row>
    <row r="181">
      <c r="B181" s="8"/>
      <c r="C181" s="8"/>
      <c r="D181" s="8"/>
      <c r="E181" s="8"/>
      <c r="F181" s="129"/>
      <c r="G181" s="8"/>
      <c r="L181" s="157"/>
    </row>
    <row r="182">
      <c r="B182" s="8"/>
      <c r="C182" s="8"/>
      <c r="D182" s="8"/>
      <c r="E182" s="8"/>
      <c r="F182" s="129"/>
      <c r="G182" s="8"/>
      <c r="L182" s="157"/>
    </row>
    <row r="183">
      <c r="B183" s="8"/>
      <c r="C183" s="8"/>
      <c r="D183" s="8"/>
      <c r="E183" s="8"/>
      <c r="F183" s="129"/>
      <c r="G183" s="8"/>
      <c r="L183" s="157"/>
    </row>
    <row r="184">
      <c r="B184" s="8"/>
      <c r="C184" s="8"/>
      <c r="D184" s="8"/>
      <c r="E184" s="8"/>
      <c r="F184" s="129"/>
      <c r="G184" s="8"/>
      <c r="L184" s="157"/>
    </row>
    <row r="185">
      <c r="B185" s="8"/>
      <c r="C185" s="8"/>
      <c r="D185" s="8"/>
      <c r="E185" s="8"/>
      <c r="F185" s="129"/>
      <c r="G185" s="8"/>
      <c r="L185" s="157"/>
    </row>
    <row r="186">
      <c r="B186" s="8"/>
      <c r="C186" s="8"/>
      <c r="D186" s="8"/>
      <c r="E186" s="8"/>
      <c r="F186" s="129"/>
      <c r="G186" s="8"/>
      <c r="L186" s="157"/>
    </row>
    <row r="187">
      <c r="B187" s="8"/>
      <c r="C187" s="8"/>
      <c r="D187" s="8"/>
      <c r="E187" s="8"/>
      <c r="F187" s="129"/>
      <c r="G187" s="8"/>
      <c r="L187" s="157"/>
    </row>
    <row r="188">
      <c r="B188" s="8"/>
      <c r="C188" s="8"/>
      <c r="D188" s="8"/>
      <c r="E188" s="8"/>
      <c r="F188" s="129"/>
      <c r="G188" s="8"/>
      <c r="L188" s="157"/>
    </row>
    <row r="189">
      <c r="B189" s="8"/>
      <c r="C189" s="8"/>
      <c r="D189" s="8"/>
      <c r="E189" s="8"/>
      <c r="F189" s="129"/>
      <c r="G189" s="8"/>
      <c r="L189" s="157"/>
    </row>
    <row r="190">
      <c r="B190" s="8"/>
      <c r="C190" s="8"/>
      <c r="D190" s="8"/>
      <c r="E190" s="8"/>
      <c r="F190" s="129"/>
      <c r="G190" s="8"/>
      <c r="L190" s="157"/>
    </row>
    <row r="191">
      <c r="B191" s="8"/>
      <c r="C191" s="8"/>
      <c r="D191" s="8"/>
      <c r="E191" s="8"/>
      <c r="F191" s="129"/>
      <c r="G191" s="8"/>
      <c r="L191" s="157"/>
    </row>
    <row r="192">
      <c r="B192" s="8"/>
      <c r="C192" s="8"/>
      <c r="D192" s="8"/>
      <c r="E192" s="8"/>
      <c r="F192" s="129"/>
      <c r="G192" s="8"/>
      <c r="L192" s="157"/>
    </row>
    <row r="193">
      <c r="B193" s="8"/>
      <c r="C193" s="8"/>
      <c r="D193" s="8"/>
      <c r="E193" s="8"/>
      <c r="F193" s="129"/>
      <c r="G193" s="8"/>
      <c r="L193" s="157"/>
    </row>
    <row r="194">
      <c r="B194" s="8"/>
      <c r="C194" s="8"/>
      <c r="D194" s="8"/>
      <c r="E194" s="8"/>
      <c r="F194" s="129"/>
      <c r="G194" s="8"/>
      <c r="L194" s="157"/>
    </row>
    <row r="195">
      <c r="B195" s="8"/>
      <c r="C195" s="8"/>
      <c r="D195" s="8"/>
      <c r="E195" s="8"/>
      <c r="F195" s="129"/>
      <c r="G195" s="8"/>
      <c r="L195" s="157"/>
    </row>
    <row r="196">
      <c r="B196" s="8"/>
      <c r="C196" s="8"/>
      <c r="D196" s="8"/>
      <c r="E196" s="8"/>
      <c r="F196" s="129"/>
      <c r="G196" s="8"/>
      <c r="L196" s="157"/>
    </row>
    <row r="197">
      <c r="B197" s="8"/>
      <c r="C197" s="8"/>
      <c r="D197" s="8"/>
      <c r="E197" s="8"/>
      <c r="F197" s="129"/>
      <c r="G197" s="8"/>
      <c r="L197" s="157"/>
    </row>
    <row r="198">
      <c r="B198" s="8"/>
      <c r="C198" s="8"/>
      <c r="D198" s="8"/>
      <c r="E198" s="8"/>
      <c r="F198" s="129"/>
      <c r="G198" s="8"/>
      <c r="L198" s="157"/>
    </row>
    <row r="199">
      <c r="B199" s="8"/>
      <c r="C199" s="8"/>
      <c r="D199" s="8"/>
      <c r="E199" s="8"/>
      <c r="F199" s="129"/>
      <c r="G199" s="8"/>
      <c r="L199" s="157"/>
    </row>
    <row r="200">
      <c r="B200" s="8"/>
      <c r="C200" s="8"/>
      <c r="D200" s="8"/>
      <c r="E200" s="8"/>
      <c r="F200" s="129"/>
      <c r="G200" s="8"/>
      <c r="L200" s="157"/>
    </row>
    <row r="201">
      <c r="B201" s="8"/>
      <c r="C201" s="8"/>
      <c r="D201" s="8"/>
      <c r="E201" s="8"/>
      <c r="F201" s="129"/>
      <c r="G201" s="8"/>
      <c r="L201" s="157"/>
    </row>
    <row r="202">
      <c r="B202" s="8"/>
      <c r="C202" s="8"/>
      <c r="D202" s="8"/>
      <c r="E202" s="8"/>
      <c r="F202" s="129"/>
      <c r="G202" s="8"/>
      <c r="L202" s="157"/>
    </row>
    <row r="203">
      <c r="B203" s="8"/>
      <c r="C203" s="8"/>
      <c r="D203" s="8"/>
      <c r="E203" s="8"/>
      <c r="F203" s="129"/>
      <c r="G203" s="8"/>
      <c r="L203" s="157"/>
    </row>
    <row r="204">
      <c r="B204" s="8"/>
      <c r="C204" s="8"/>
      <c r="D204" s="8"/>
      <c r="E204" s="8"/>
      <c r="F204" s="129"/>
      <c r="G204" s="8"/>
      <c r="L204" s="157"/>
    </row>
    <row r="205">
      <c r="B205" s="8"/>
      <c r="C205" s="8"/>
      <c r="D205" s="8"/>
      <c r="E205" s="8"/>
      <c r="F205" s="129"/>
      <c r="G205" s="8"/>
      <c r="L205" s="157"/>
    </row>
    <row r="206">
      <c r="B206" s="8"/>
      <c r="C206" s="8"/>
      <c r="D206" s="8"/>
      <c r="E206" s="8"/>
      <c r="F206" s="129"/>
      <c r="G206" s="8"/>
      <c r="L206" s="157"/>
    </row>
    <row r="207">
      <c r="B207" s="8"/>
      <c r="C207" s="8"/>
      <c r="D207" s="8"/>
      <c r="E207" s="8"/>
      <c r="F207" s="129"/>
      <c r="G207" s="8"/>
      <c r="L207" s="157"/>
    </row>
    <row r="208">
      <c r="B208" s="8"/>
      <c r="C208" s="8"/>
      <c r="D208" s="8"/>
      <c r="E208" s="8"/>
      <c r="F208" s="129"/>
      <c r="G208" s="8"/>
      <c r="L208" s="157"/>
    </row>
    <row r="209">
      <c r="B209" s="8"/>
      <c r="C209" s="8"/>
      <c r="D209" s="8"/>
      <c r="E209" s="8"/>
      <c r="F209" s="129"/>
      <c r="G209" s="8"/>
      <c r="L209" s="157"/>
    </row>
    <row r="210">
      <c r="B210" s="8"/>
      <c r="C210" s="8"/>
      <c r="D210" s="8"/>
      <c r="E210" s="8"/>
      <c r="F210" s="129"/>
      <c r="G210" s="8"/>
      <c r="L210" s="157"/>
    </row>
    <row r="211">
      <c r="B211" s="8"/>
      <c r="C211" s="8"/>
      <c r="D211" s="8"/>
      <c r="E211" s="8"/>
      <c r="F211" s="129"/>
      <c r="G211" s="8"/>
      <c r="L211" s="157"/>
    </row>
    <row r="212">
      <c r="B212" s="8"/>
      <c r="C212" s="8"/>
      <c r="D212" s="8"/>
      <c r="E212" s="8"/>
      <c r="F212" s="129"/>
      <c r="G212" s="8"/>
      <c r="L212" s="157"/>
    </row>
    <row r="213">
      <c r="B213" s="8"/>
      <c r="C213" s="8"/>
      <c r="D213" s="8"/>
      <c r="E213" s="8"/>
      <c r="F213" s="129"/>
      <c r="G213" s="8"/>
      <c r="L213" s="157"/>
    </row>
    <row r="214">
      <c r="B214" s="8"/>
      <c r="C214" s="8"/>
      <c r="D214" s="8"/>
      <c r="E214" s="8"/>
      <c r="F214" s="129"/>
      <c r="G214" s="8"/>
      <c r="L214" s="157"/>
    </row>
    <row r="215">
      <c r="B215" s="8"/>
      <c r="C215" s="8"/>
      <c r="D215" s="8"/>
      <c r="E215" s="8"/>
      <c r="F215" s="129"/>
      <c r="G215" s="8"/>
      <c r="L215" s="157"/>
    </row>
    <row r="216">
      <c r="B216" s="8"/>
      <c r="C216" s="8"/>
      <c r="D216" s="8"/>
      <c r="E216" s="8"/>
      <c r="F216" s="129"/>
      <c r="G216" s="8"/>
      <c r="L216" s="157"/>
    </row>
    <row r="217">
      <c r="B217" s="8"/>
      <c r="C217" s="8"/>
      <c r="D217" s="8"/>
      <c r="E217" s="8"/>
      <c r="F217" s="129"/>
      <c r="G217" s="8"/>
      <c r="L217" s="157"/>
    </row>
    <row r="218">
      <c r="B218" s="8"/>
      <c r="C218" s="8"/>
      <c r="D218" s="8"/>
      <c r="E218" s="8"/>
      <c r="F218" s="129"/>
      <c r="G218" s="8"/>
      <c r="L218" s="157"/>
    </row>
    <row r="219">
      <c r="B219" s="8"/>
      <c r="C219" s="8"/>
      <c r="D219" s="8"/>
      <c r="E219" s="8"/>
      <c r="F219" s="129"/>
      <c r="G219" s="8"/>
      <c r="L219" s="157"/>
    </row>
    <row r="220">
      <c r="B220" s="8"/>
      <c r="C220" s="8"/>
      <c r="D220" s="8"/>
      <c r="E220" s="8"/>
      <c r="F220" s="129"/>
      <c r="G220" s="8"/>
      <c r="L220" s="157"/>
    </row>
    <row r="221">
      <c r="B221" s="8"/>
      <c r="C221" s="8"/>
      <c r="D221" s="8"/>
      <c r="E221" s="8"/>
      <c r="F221" s="129"/>
      <c r="G221" s="8"/>
      <c r="L221" s="157"/>
    </row>
    <row r="222">
      <c r="B222" s="8"/>
      <c r="C222" s="8"/>
      <c r="D222" s="8"/>
      <c r="E222" s="8"/>
      <c r="F222" s="129"/>
      <c r="G222" s="8"/>
      <c r="L222" s="157"/>
    </row>
    <row r="223">
      <c r="B223" s="8"/>
      <c r="C223" s="8"/>
      <c r="D223" s="8"/>
      <c r="E223" s="8"/>
      <c r="F223" s="129"/>
      <c r="G223" s="8"/>
      <c r="L223" s="157"/>
    </row>
    <row r="224">
      <c r="B224" s="8"/>
      <c r="C224" s="8"/>
      <c r="D224" s="8"/>
      <c r="E224" s="8"/>
      <c r="F224" s="129"/>
      <c r="G224" s="8"/>
      <c r="L224" s="157"/>
    </row>
    <row r="225">
      <c r="B225" s="8"/>
      <c r="C225" s="8"/>
      <c r="D225" s="8"/>
      <c r="E225" s="8"/>
      <c r="F225" s="129"/>
      <c r="G225" s="8"/>
      <c r="L225" s="157"/>
    </row>
    <row r="226">
      <c r="B226" s="8"/>
      <c r="C226" s="8"/>
      <c r="D226" s="8"/>
      <c r="E226" s="8"/>
      <c r="F226" s="129"/>
      <c r="G226" s="8"/>
      <c r="L226" s="157"/>
    </row>
    <row r="227">
      <c r="B227" s="8"/>
      <c r="C227" s="8"/>
      <c r="D227" s="8"/>
      <c r="E227" s="8"/>
      <c r="F227" s="129"/>
      <c r="G227" s="8"/>
      <c r="L227" s="157"/>
    </row>
    <row r="228">
      <c r="B228" s="8"/>
      <c r="C228" s="8"/>
      <c r="D228" s="8"/>
      <c r="E228" s="8"/>
      <c r="F228" s="129"/>
      <c r="G228" s="8"/>
      <c r="L228" s="157"/>
    </row>
    <row r="229">
      <c r="B229" s="8"/>
      <c r="C229" s="8"/>
      <c r="D229" s="8"/>
      <c r="E229" s="8"/>
      <c r="F229" s="129"/>
      <c r="G229" s="8"/>
      <c r="L229" s="157"/>
    </row>
    <row r="230">
      <c r="B230" s="8"/>
      <c r="C230" s="8"/>
      <c r="D230" s="8"/>
      <c r="E230" s="8"/>
      <c r="F230" s="129"/>
      <c r="G230" s="8"/>
      <c r="L230" s="157"/>
    </row>
    <row r="231">
      <c r="B231" s="8"/>
      <c r="C231" s="8"/>
      <c r="D231" s="8"/>
      <c r="E231" s="8"/>
      <c r="F231" s="129"/>
      <c r="G231" s="8"/>
      <c r="L231" s="157"/>
    </row>
    <row r="232">
      <c r="B232" s="8"/>
      <c r="C232" s="8"/>
      <c r="D232" s="8"/>
      <c r="E232" s="8"/>
      <c r="F232" s="129"/>
      <c r="G232" s="8"/>
      <c r="L232" s="157"/>
    </row>
    <row r="233">
      <c r="B233" s="8"/>
      <c r="C233" s="8"/>
      <c r="D233" s="8"/>
      <c r="E233" s="8"/>
      <c r="F233" s="129"/>
      <c r="G233" s="8"/>
      <c r="L233" s="157"/>
    </row>
    <row r="234">
      <c r="B234" s="8"/>
      <c r="C234" s="8"/>
      <c r="D234" s="8"/>
      <c r="E234" s="8"/>
      <c r="F234" s="129"/>
      <c r="G234" s="8"/>
      <c r="L234" s="157"/>
    </row>
    <row r="235">
      <c r="B235" s="8"/>
      <c r="C235" s="8"/>
      <c r="D235" s="8"/>
      <c r="E235" s="8"/>
      <c r="F235" s="129"/>
      <c r="G235" s="8"/>
      <c r="L235" s="157"/>
    </row>
    <row r="236">
      <c r="B236" s="8"/>
      <c r="C236" s="8"/>
      <c r="D236" s="8"/>
      <c r="E236" s="8"/>
      <c r="F236" s="129"/>
      <c r="G236" s="8"/>
      <c r="L236" s="157"/>
    </row>
    <row r="237">
      <c r="B237" s="8"/>
      <c r="C237" s="8"/>
      <c r="D237" s="8"/>
      <c r="E237" s="8"/>
      <c r="F237" s="129"/>
      <c r="G237" s="8"/>
      <c r="L237" s="157"/>
    </row>
    <row r="238">
      <c r="B238" s="8"/>
      <c r="C238" s="8"/>
      <c r="D238" s="8"/>
      <c r="E238" s="8"/>
      <c r="F238" s="129"/>
      <c r="G238" s="8"/>
      <c r="L238" s="157"/>
    </row>
    <row r="239">
      <c r="B239" s="8"/>
      <c r="C239" s="8"/>
      <c r="D239" s="8"/>
      <c r="E239" s="8"/>
      <c r="F239" s="129"/>
      <c r="G239" s="8"/>
      <c r="L239" s="157"/>
    </row>
    <row r="240">
      <c r="B240" s="8"/>
      <c r="C240" s="8"/>
      <c r="D240" s="8"/>
      <c r="E240" s="8"/>
      <c r="F240" s="129"/>
      <c r="G240" s="8"/>
      <c r="L240" s="157"/>
    </row>
    <row r="241">
      <c r="B241" s="8"/>
      <c r="C241" s="8"/>
      <c r="D241" s="8"/>
      <c r="E241" s="8"/>
      <c r="F241" s="129"/>
      <c r="G241" s="8"/>
      <c r="L241" s="157"/>
    </row>
    <row r="242">
      <c r="B242" s="8"/>
      <c r="C242" s="8"/>
      <c r="D242" s="8"/>
      <c r="E242" s="8"/>
      <c r="F242" s="129"/>
      <c r="G242" s="8"/>
      <c r="L242" s="157"/>
    </row>
    <row r="243">
      <c r="B243" s="8"/>
      <c r="C243" s="8"/>
      <c r="D243" s="8"/>
      <c r="E243" s="8"/>
      <c r="F243" s="129"/>
      <c r="G243" s="8"/>
      <c r="L243" s="157"/>
    </row>
    <row r="244">
      <c r="B244" s="8"/>
      <c r="C244" s="8"/>
      <c r="D244" s="8"/>
      <c r="E244" s="8"/>
      <c r="F244" s="129"/>
      <c r="G244" s="8"/>
      <c r="L244" s="157"/>
    </row>
    <row r="245">
      <c r="B245" s="8"/>
      <c r="C245" s="8"/>
      <c r="D245" s="8"/>
      <c r="E245" s="8"/>
      <c r="F245" s="129"/>
      <c r="G245" s="8"/>
      <c r="L245" s="157"/>
    </row>
    <row r="246">
      <c r="B246" s="8"/>
      <c r="C246" s="8"/>
      <c r="D246" s="8"/>
      <c r="E246" s="8"/>
      <c r="F246" s="129"/>
      <c r="G246" s="8"/>
      <c r="L246" s="157"/>
    </row>
    <row r="247">
      <c r="B247" s="8"/>
      <c r="C247" s="8"/>
      <c r="D247" s="8"/>
      <c r="E247" s="8"/>
      <c r="F247" s="129"/>
      <c r="G247" s="8"/>
      <c r="L247" s="157"/>
    </row>
    <row r="248">
      <c r="B248" s="8"/>
      <c r="C248" s="8"/>
      <c r="D248" s="8"/>
      <c r="E248" s="8"/>
      <c r="F248" s="129"/>
      <c r="G248" s="8"/>
      <c r="L248" s="157"/>
    </row>
    <row r="249">
      <c r="B249" s="8"/>
      <c r="C249" s="8"/>
      <c r="D249" s="8"/>
      <c r="E249" s="8"/>
      <c r="F249" s="129"/>
      <c r="G249" s="8"/>
      <c r="L249" s="157"/>
    </row>
    <row r="250">
      <c r="B250" s="8"/>
      <c r="C250" s="8"/>
      <c r="D250" s="8"/>
      <c r="E250" s="8"/>
      <c r="F250" s="129"/>
      <c r="G250" s="8"/>
      <c r="L250" s="157"/>
    </row>
    <row r="251">
      <c r="B251" s="8"/>
      <c r="C251" s="8"/>
      <c r="D251" s="8"/>
      <c r="E251" s="8"/>
      <c r="F251" s="129"/>
      <c r="G251" s="8"/>
      <c r="L251" s="157"/>
    </row>
    <row r="252">
      <c r="B252" s="8"/>
      <c r="C252" s="8"/>
      <c r="D252" s="8"/>
      <c r="E252" s="8"/>
      <c r="F252" s="129"/>
      <c r="G252" s="8"/>
      <c r="L252" s="157"/>
    </row>
    <row r="253">
      <c r="B253" s="8"/>
      <c r="C253" s="8"/>
      <c r="D253" s="8"/>
      <c r="E253" s="8"/>
      <c r="F253" s="129"/>
      <c r="G253" s="8"/>
      <c r="L253" s="157"/>
    </row>
    <row r="254">
      <c r="B254" s="8"/>
      <c r="C254" s="8"/>
      <c r="D254" s="8"/>
      <c r="E254" s="8"/>
      <c r="F254" s="129"/>
      <c r="G254" s="8"/>
      <c r="L254" s="157"/>
    </row>
    <row r="255">
      <c r="B255" s="8"/>
      <c r="C255" s="8"/>
      <c r="D255" s="8"/>
      <c r="E255" s="8"/>
      <c r="F255" s="129"/>
      <c r="G255" s="8"/>
      <c r="L255" s="157"/>
    </row>
    <row r="256">
      <c r="B256" s="8"/>
      <c r="C256" s="8"/>
      <c r="D256" s="8"/>
      <c r="E256" s="8"/>
      <c r="F256" s="129"/>
      <c r="G256" s="8"/>
      <c r="L256" s="157"/>
    </row>
    <row r="257">
      <c r="B257" s="8"/>
      <c r="C257" s="8"/>
      <c r="D257" s="8"/>
      <c r="E257" s="8"/>
      <c r="F257" s="129"/>
      <c r="G257" s="8"/>
      <c r="L257" s="157"/>
    </row>
    <row r="258">
      <c r="B258" s="8"/>
      <c r="C258" s="8"/>
      <c r="D258" s="8"/>
      <c r="E258" s="8"/>
      <c r="F258" s="129"/>
      <c r="G258" s="8"/>
      <c r="L258" s="157"/>
    </row>
    <row r="259">
      <c r="B259" s="8"/>
      <c r="C259" s="8"/>
      <c r="D259" s="8"/>
      <c r="E259" s="8"/>
      <c r="F259" s="129"/>
      <c r="G259" s="8"/>
      <c r="L259" s="157"/>
    </row>
    <row r="260">
      <c r="B260" s="8"/>
      <c r="C260" s="8"/>
      <c r="D260" s="8"/>
      <c r="E260" s="8"/>
      <c r="F260" s="129"/>
      <c r="G260" s="8"/>
      <c r="L260" s="157"/>
    </row>
    <row r="261">
      <c r="B261" s="8"/>
      <c r="C261" s="8"/>
      <c r="D261" s="8"/>
      <c r="E261" s="8"/>
      <c r="F261" s="129"/>
      <c r="G261" s="8"/>
      <c r="L261" s="157"/>
    </row>
    <row r="262">
      <c r="B262" s="8"/>
      <c r="C262" s="8"/>
      <c r="D262" s="8"/>
      <c r="E262" s="8"/>
      <c r="F262" s="129"/>
      <c r="G262" s="8"/>
      <c r="L262" s="157"/>
    </row>
    <row r="263">
      <c r="B263" s="8"/>
      <c r="C263" s="8"/>
      <c r="D263" s="8"/>
      <c r="E263" s="8"/>
      <c r="F263" s="129"/>
      <c r="G263" s="8"/>
      <c r="L263" s="157"/>
    </row>
    <row r="264">
      <c r="B264" s="8"/>
      <c r="C264" s="8"/>
      <c r="D264" s="8"/>
      <c r="E264" s="8"/>
      <c r="F264" s="129"/>
      <c r="G264" s="8"/>
      <c r="L264" s="157"/>
    </row>
    <row r="265">
      <c r="B265" s="8"/>
      <c r="C265" s="8"/>
      <c r="D265" s="8"/>
      <c r="E265" s="8"/>
      <c r="F265" s="129"/>
      <c r="G265" s="8"/>
      <c r="L265" s="157"/>
    </row>
    <row r="266">
      <c r="B266" s="8"/>
      <c r="C266" s="8"/>
      <c r="D266" s="8"/>
      <c r="E266" s="8"/>
      <c r="F266" s="129"/>
      <c r="G266" s="8"/>
      <c r="L266" s="157"/>
    </row>
    <row r="267">
      <c r="B267" s="8"/>
      <c r="C267" s="8"/>
      <c r="D267" s="8"/>
      <c r="E267" s="8"/>
      <c r="F267" s="129"/>
      <c r="G267" s="8"/>
      <c r="L267" s="157"/>
    </row>
    <row r="268">
      <c r="B268" s="8"/>
      <c r="C268" s="8"/>
      <c r="D268" s="8"/>
      <c r="E268" s="8"/>
      <c r="F268" s="129"/>
      <c r="G268" s="8"/>
      <c r="L268" s="157"/>
    </row>
    <row r="269">
      <c r="B269" s="8"/>
      <c r="C269" s="8"/>
      <c r="D269" s="8"/>
      <c r="E269" s="8"/>
      <c r="F269" s="129"/>
      <c r="G269" s="8"/>
      <c r="L269" s="157"/>
    </row>
    <row r="270">
      <c r="B270" s="8"/>
      <c r="C270" s="8"/>
      <c r="D270" s="8"/>
      <c r="E270" s="8"/>
      <c r="F270" s="129"/>
      <c r="G270" s="8"/>
      <c r="L270" s="157"/>
    </row>
    <row r="271">
      <c r="B271" s="8"/>
      <c r="C271" s="8"/>
      <c r="D271" s="8"/>
      <c r="E271" s="8"/>
      <c r="F271" s="129"/>
      <c r="G271" s="8"/>
      <c r="L271" s="157"/>
    </row>
    <row r="272">
      <c r="B272" s="8"/>
      <c r="C272" s="8"/>
      <c r="D272" s="8"/>
      <c r="E272" s="8"/>
      <c r="F272" s="129"/>
      <c r="G272" s="8"/>
      <c r="L272" s="157"/>
    </row>
    <row r="273">
      <c r="B273" s="8"/>
      <c r="C273" s="8"/>
      <c r="D273" s="8"/>
      <c r="E273" s="8"/>
      <c r="F273" s="129"/>
      <c r="G273" s="8"/>
      <c r="L273" s="157"/>
    </row>
    <row r="274">
      <c r="B274" s="8"/>
      <c r="C274" s="8"/>
      <c r="D274" s="8"/>
      <c r="E274" s="8"/>
      <c r="F274" s="129"/>
      <c r="G274" s="8"/>
      <c r="L274" s="157"/>
    </row>
    <row r="275">
      <c r="B275" s="8"/>
      <c r="C275" s="8"/>
      <c r="D275" s="8"/>
      <c r="E275" s="8"/>
      <c r="F275" s="129"/>
      <c r="G275" s="8"/>
      <c r="L275" s="157"/>
    </row>
    <row r="276">
      <c r="B276" s="8"/>
      <c r="C276" s="8"/>
      <c r="D276" s="8"/>
      <c r="E276" s="8"/>
      <c r="F276" s="129"/>
      <c r="G276" s="8"/>
      <c r="L276" s="157"/>
    </row>
    <row r="277">
      <c r="B277" s="8"/>
      <c r="C277" s="8"/>
      <c r="D277" s="8"/>
      <c r="E277" s="8"/>
      <c r="F277" s="129"/>
      <c r="G277" s="8"/>
      <c r="L277" s="157"/>
    </row>
    <row r="278">
      <c r="B278" s="8"/>
      <c r="C278" s="8"/>
      <c r="D278" s="8"/>
      <c r="E278" s="8"/>
      <c r="F278" s="129"/>
      <c r="G278" s="8"/>
      <c r="L278" s="157"/>
    </row>
    <row r="279">
      <c r="B279" s="8"/>
      <c r="C279" s="8"/>
      <c r="D279" s="8"/>
      <c r="E279" s="8"/>
      <c r="F279" s="129"/>
      <c r="G279" s="8"/>
      <c r="L279" s="157"/>
    </row>
    <row r="280">
      <c r="B280" s="8"/>
      <c r="C280" s="8"/>
      <c r="D280" s="8"/>
      <c r="E280" s="8"/>
      <c r="F280" s="129"/>
      <c r="G280" s="8"/>
      <c r="L280" s="157"/>
    </row>
    <row r="281">
      <c r="B281" s="8"/>
      <c r="C281" s="8"/>
      <c r="D281" s="8"/>
      <c r="E281" s="8"/>
      <c r="F281" s="129"/>
      <c r="G281" s="8"/>
      <c r="L281" s="157"/>
    </row>
    <row r="282">
      <c r="B282" s="8"/>
      <c r="C282" s="8"/>
      <c r="D282" s="8"/>
      <c r="E282" s="8"/>
      <c r="F282" s="129"/>
      <c r="G282" s="8"/>
      <c r="L282" s="157"/>
    </row>
    <row r="283">
      <c r="B283" s="8"/>
      <c r="C283" s="8"/>
      <c r="D283" s="8"/>
      <c r="E283" s="8"/>
      <c r="F283" s="129"/>
      <c r="G283" s="8"/>
      <c r="L283" s="157"/>
    </row>
    <row r="284">
      <c r="B284" s="8"/>
      <c r="C284" s="8"/>
      <c r="D284" s="8"/>
      <c r="E284" s="8"/>
      <c r="F284" s="129"/>
      <c r="G284" s="8"/>
      <c r="L284" s="157"/>
    </row>
    <row r="285">
      <c r="B285" s="8"/>
      <c r="C285" s="8"/>
      <c r="D285" s="8"/>
      <c r="E285" s="8"/>
      <c r="F285" s="129"/>
      <c r="G285" s="8"/>
      <c r="L285" s="157"/>
    </row>
    <row r="286">
      <c r="B286" s="8"/>
      <c r="C286" s="8"/>
      <c r="D286" s="8"/>
      <c r="E286" s="8"/>
      <c r="F286" s="129"/>
      <c r="G286" s="8"/>
      <c r="L286" s="157"/>
    </row>
    <row r="287">
      <c r="B287" s="8"/>
      <c r="C287" s="8"/>
      <c r="D287" s="8"/>
      <c r="E287" s="8"/>
      <c r="F287" s="129"/>
      <c r="G287" s="8"/>
      <c r="L287" s="157"/>
    </row>
    <row r="288">
      <c r="B288" s="8"/>
      <c r="C288" s="8"/>
      <c r="D288" s="8"/>
      <c r="E288" s="8"/>
      <c r="F288" s="129"/>
      <c r="G288" s="8"/>
      <c r="L288" s="157"/>
    </row>
    <row r="289">
      <c r="B289" s="8"/>
      <c r="C289" s="8"/>
      <c r="D289" s="8"/>
      <c r="E289" s="8"/>
      <c r="F289" s="129"/>
      <c r="G289" s="8"/>
      <c r="L289" s="157"/>
    </row>
    <row r="290">
      <c r="B290" s="8"/>
      <c r="C290" s="8"/>
      <c r="D290" s="8"/>
      <c r="E290" s="8"/>
      <c r="F290" s="129"/>
      <c r="G290" s="8"/>
      <c r="L290" s="157"/>
    </row>
    <row r="291">
      <c r="B291" s="8"/>
      <c r="C291" s="8"/>
      <c r="D291" s="8"/>
      <c r="E291" s="8"/>
      <c r="F291" s="129"/>
      <c r="G291" s="8"/>
      <c r="L291" s="157"/>
    </row>
    <row r="292">
      <c r="B292" s="8"/>
      <c r="C292" s="8"/>
      <c r="D292" s="8"/>
      <c r="E292" s="8"/>
      <c r="F292" s="129"/>
      <c r="G292" s="8"/>
      <c r="L292" s="157"/>
    </row>
    <row r="293">
      <c r="B293" s="8"/>
      <c r="C293" s="8"/>
      <c r="D293" s="8"/>
      <c r="E293" s="8"/>
      <c r="F293" s="129"/>
      <c r="G293" s="8"/>
      <c r="L293" s="157"/>
    </row>
    <row r="294">
      <c r="B294" s="8"/>
      <c r="C294" s="8"/>
      <c r="D294" s="8"/>
      <c r="E294" s="8"/>
      <c r="F294" s="129"/>
      <c r="G294" s="8"/>
      <c r="L294" s="157"/>
    </row>
    <row r="295">
      <c r="B295" s="8"/>
      <c r="C295" s="8"/>
      <c r="D295" s="8"/>
      <c r="E295" s="8"/>
      <c r="F295" s="129"/>
      <c r="G295" s="8"/>
      <c r="L295" s="157"/>
    </row>
    <row r="296">
      <c r="B296" s="8"/>
      <c r="C296" s="8"/>
      <c r="D296" s="8"/>
      <c r="E296" s="8"/>
      <c r="F296" s="129"/>
      <c r="G296" s="8"/>
      <c r="L296" s="157"/>
    </row>
    <row r="297">
      <c r="B297" s="8"/>
      <c r="C297" s="8"/>
      <c r="D297" s="8"/>
      <c r="E297" s="8"/>
      <c r="F297" s="129"/>
      <c r="G297" s="8"/>
      <c r="L297" s="157"/>
    </row>
    <row r="298">
      <c r="B298" s="8"/>
      <c r="C298" s="8"/>
      <c r="D298" s="8"/>
      <c r="E298" s="8"/>
      <c r="F298" s="129"/>
      <c r="G298" s="8"/>
      <c r="L298" s="157"/>
    </row>
    <row r="299">
      <c r="B299" s="8"/>
      <c r="C299" s="8"/>
      <c r="D299" s="8"/>
      <c r="E299" s="8"/>
      <c r="F299" s="129"/>
      <c r="G299" s="8"/>
      <c r="L299" s="157"/>
    </row>
    <row r="300">
      <c r="B300" s="8"/>
      <c r="C300" s="8"/>
      <c r="D300" s="8"/>
      <c r="E300" s="8"/>
      <c r="F300" s="129"/>
      <c r="G300" s="8"/>
      <c r="L300" s="157"/>
    </row>
    <row r="301">
      <c r="B301" s="8"/>
      <c r="C301" s="8"/>
      <c r="D301" s="8"/>
      <c r="E301" s="8"/>
      <c r="F301" s="129"/>
      <c r="G301" s="8"/>
      <c r="L301" s="157"/>
    </row>
    <row r="302">
      <c r="B302" s="8"/>
      <c r="C302" s="8"/>
      <c r="D302" s="8"/>
      <c r="E302" s="8"/>
      <c r="F302" s="129"/>
      <c r="G302" s="8"/>
      <c r="L302" s="157"/>
    </row>
    <row r="303">
      <c r="B303" s="8"/>
      <c r="C303" s="8"/>
      <c r="D303" s="8"/>
      <c r="E303" s="8"/>
      <c r="F303" s="129"/>
      <c r="G303" s="8"/>
      <c r="L303" s="157"/>
    </row>
    <row r="304">
      <c r="B304" s="8"/>
      <c r="C304" s="8"/>
      <c r="D304" s="8"/>
      <c r="E304" s="8"/>
      <c r="F304" s="129"/>
      <c r="G304" s="8"/>
      <c r="L304" s="157"/>
    </row>
    <row r="305">
      <c r="B305" s="8"/>
      <c r="C305" s="8"/>
      <c r="D305" s="8"/>
      <c r="E305" s="8"/>
      <c r="F305" s="129"/>
      <c r="G305" s="8"/>
      <c r="L305" s="157"/>
    </row>
    <row r="306">
      <c r="B306" s="8"/>
      <c r="C306" s="8"/>
      <c r="D306" s="8"/>
      <c r="E306" s="8"/>
      <c r="F306" s="129"/>
      <c r="G306" s="8"/>
      <c r="L306" s="157"/>
    </row>
    <row r="307">
      <c r="B307" s="8"/>
      <c r="C307" s="8"/>
      <c r="D307" s="8"/>
      <c r="E307" s="8"/>
      <c r="F307" s="129"/>
      <c r="G307" s="8"/>
      <c r="L307" s="157"/>
    </row>
    <row r="308">
      <c r="B308" s="8"/>
      <c r="C308" s="8"/>
      <c r="D308" s="8"/>
      <c r="E308" s="8"/>
      <c r="F308" s="129"/>
      <c r="G308" s="8"/>
      <c r="L308" s="157"/>
    </row>
    <row r="309">
      <c r="B309" s="8"/>
      <c r="C309" s="8"/>
      <c r="D309" s="8"/>
      <c r="E309" s="8"/>
      <c r="F309" s="129"/>
      <c r="G309" s="8"/>
      <c r="L309" s="157"/>
    </row>
    <row r="310">
      <c r="B310" s="8"/>
      <c r="C310" s="8"/>
      <c r="D310" s="8"/>
      <c r="E310" s="8"/>
      <c r="F310" s="129"/>
      <c r="G310" s="8"/>
      <c r="L310" s="157"/>
    </row>
    <row r="311">
      <c r="B311" s="8"/>
      <c r="C311" s="8"/>
      <c r="D311" s="8"/>
      <c r="E311" s="8"/>
      <c r="F311" s="129"/>
      <c r="G311" s="8"/>
      <c r="L311" s="157"/>
    </row>
    <row r="312">
      <c r="B312" s="8"/>
      <c r="C312" s="8"/>
      <c r="D312" s="8"/>
      <c r="E312" s="8"/>
      <c r="F312" s="129"/>
      <c r="G312" s="8"/>
      <c r="L312" s="157"/>
    </row>
    <row r="313">
      <c r="B313" s="8"/>
      <c r="C313" s="8"/>
      <c r="D313" s="8"/>
      <c r="E313" s="8"/>
      <c r="F313" s="129"/>
      <c r="G313" s="8"/>
      <c r="L313" s="157"/>
    </row>
    <row r="314">
      <c r="B314" s="8"/>
      <c r="C314" s="8"/>
      <c r="D314" s="8"/>
      <c r="E314" s="8"/>
      <c r="F314" s="129"/>
      <c r="G314" s="8"/>
      <c r="L314" s="157"/>
    </row>
    <row r="315">
      <c r="B315" s="8"/>
      <c r="C315" s="8"/>
      <c r="D315" s="8"/>
      <c r="E315" s="8"/>
      <c r="F315" s="129"/>
      <c r="G315" s="8"/>
      <c r="L315" s="157"/>
    </row>
    <row r="316">
      <c r="B316" s="8"/>
      <c r="C316" s="8"/>
      <c r="D316" s="8"/>
      <c r="E316" s="8"/>
      <c r="F316" s="129"/>
      <c r="G316" s="8"/>
      <c r="L316" s="157"/>
    </row>
    <row r="317">
      <c r="B317" s="8"/>
      <c r="C317" s="8"/>
      <c r="D317" s="8"/>
      <c r="E317" s="8"/>
      <c r="F317" s="129"/>
      <c r="G317" s="8"/>
      <c r="L317" s="157"/>
    </row>
    <row r="318">
      <c r="B318" s="8"/>
      <c r="C318" s="8"/>
      <c r="D318" s="8"/>
      <c r="E318" s="8"/>
      <c r="F318" s="129"/>
      <c r="G318" s="8"/>
      <c r="L318" s="157"/>
    </row>
    <row r="319">
      <c r="B319" s="8"/>
      <c r="C319" s="8"/>
      <c r="D319" s="8"/>
      <c r="E319" s="8"/>
      <c r="F319" s="129"/>
      <c r="G319" s="8"/>
      <c r="L319" s="157"/>
    </row>
    <row r="320">
      <c r="B320" s="8"/>
      <c r="C320" s="8"/>
      <c r="D320" s="8"/>
      <c r="E320" s="8"/>
      <c r="F320" s="129"/>
      <c r="G320" s="8"/>
      <c r="L320" s="157"/>
    </row>
    <row r="321">
      <c r="B321" s="8"/>
      <c r="C321" s="8"/>
      <c r="D321" s="8"/>
      <c r="E321" s="8"/>
      <c r="F321" s="129"/>
      <c r="G321" s="8"/>
      <c r="L321" s="157"/>
    </row>
    <row r="322">
      <c r="B322" s="8"/>
      <c r="C322" s="8"/>
      <c r="D322" s="8"/>
      <c r="E322" s="8"/>
      <c r="F322" s="129"/>
      <c r="G322" s="8"/>
      <c r="L322" s="157"/>
    </row>
    <row r="323">
      <c r="B323" s="8"/>
      <c r="C323" s="8"/>
      <c r="D323" s="8"/>
      <c r="E323" s="8"/>
      <c r="F323" s="129"/>
      <c r="G323" s="8"/>
      <c r="L323" s="157"/>
    </row>
    <row r="324">
      <c r="B324" s="8"/>
      <c r="C324" s="8"/>
      <c r="D324" s="8"/>
      <c r="E324" s="8"/>
      <c r="F324" s="129"/>
      <c r="G324" s="8"/>
      <c r="L324" s="157"/>
    </row>
    <row r="325">
      <c r="B325" s="8"/>
      <c r="C325" s="8"/>
      <c r="D325" s="8"/>
      <c r="E325" s="8"/>
      <c r="F325" s="129"/>
      <c r="G325" s="8"/>
      <c r="L325" s="157"/>
    </row>
    <row r="326">
      <c r="B326" s="8"/>
      <c r="C326" s="8"/>
      <c r="D326" s="8"/>
      <c r="E326" s="8"/>
      <c r="F326" s="129"/>
      <c r="G326" s="8"/>
      <c r="L326" s="157"/>
    </row>
    <row r="327">
      <c r="B327" s="8"/>
      <c r="C327" s="8"/>
      <c r="D327" s="8"/>
      <c r="E327" s="8"/>
      <c r="F327" s="129"/>
      <c r="G327" s="8"/>
      <c r="L327" s="157"/>
    </row>
    <row r="328">
      <c r="B328" s="8"/>
      <c r="C328" s="8"/>
      <c r="D328" s="8"/>
      <c r="E328" s="8"/>
      <c r="F328" s="129"/>
      <c r="G328" s="8"/>
      <c r="L328" s="157"/>
    </row>
    <row r="329">
      <c r="B329" s="8"/>
      <c r="C329" s="8"/>
      <c r="D329" s="8"/>
      <c r="E329" s="8"/>
      <c r="F329" s="129"/>
      <c r="G329" s="8"/>
      <c r="L329" s="157"/>
    </row>
    <row r="330">
      <c r="B330" s="8"/>
      <c r="C330" s="8"/>
      <c r="D330" s="8"/>
      <c r="E330" s="8"/>
      <c r="F330" s="129"/>
      <c r="G330" s="8"/>
      <c r="L330" s="157"/>
    </row>
    <row r="331">
      <c r="B331" s="8"/>
      <c r="C331" s="8"/>
      <c r="D331" s="8"/>
      <c r="E331" s="8"/>
      <c r="F331" s="129"/>
      <c r="G331" s="8"/>
      <c r="L331" s="157"/>
    </row>
    <row r="332">
      <c r="B332" s="8"/>
      <c r="C332" s="8"/>
      <c r="D332" s="8"/>
      <c r="E332" s="8"/>
      <c r="F332" s="129"/>
      <c r="G332" s="8"/>
      <c r="L332" s="157"/>
    </row>
    <row r="333">
      <c r="B333" s="8"/>
      <c r="C333" s="8"/>
      <c r="D333" s="8"/>
      <c r="E333" s="8"/>
      <c r="F333" s="129"/>
      <c r="G333" s="8"/>
      <c r="L333" s="157"/>
    </row>
    <row r="334">
      <c r="B334" s="8"/>
      <c r="C334" s="8"/>
      <c r="D334" s="8"/>
      <c r="E334" s="8"/>
      <c r="F334" s="129"/>
      <c r="G334" s="8"/>
      <c r="L334" s="157"/>
    </row>
    <row r="335">
      <c r="B335" s="8"/>
      <c r="C335" s="8"/>
      <c r="D335" s="8"/>
      <c r="E335" s="8"/>
      <c r="F335" s="129"/>
      <c r="G335" s="8"/>
      <c r="L335" s="157"/>
    </row>
    <row r="336">
      <c r="B336" s="8"/>
      <c r="C336" s="8"/>
      <c r="D336" s="8"/>
      <c r="E336" s="8"/>
      <c r="F336" s="129"/>
      <c r="G336" s="8"/>
      <c r="L336" s="157"/>
    </row>
    <row r="337">
      <c r="B337" s="8"/>
      <c r="C337" s="8"/>
      <c r="D337" s="8"/>
      <c r="E337" s="8"/>
      <c r="F337" s="129"/>
      <c r="G337" s="8"/>
      <c r="L337" s="157"/>
    </row>
    <row r="338">
      <c r="B338" s="8"/>
      <c r="C338" s="8"/>
      <c r="D338" s="8"/>
      <c r="E338" s="8"/>
      <c r="F338" s="129"/>
      <c r="G338" s="8"/>
      <c r="L338" s="157"/>
    </row>
    <row r="339">
      <c r="B339" s="8"/>
      <c r="C339" s="8"/>
      <c r="D339" s="8"/>
      <c r="E339" s="8"/>
      <c r="F339" s="129"/>
      <c r="G339" s="8"/>
      <c r="L339" s="157"/>
    </row>
    <row r="340">
      <c r="B340" s="8"/>
      <c r="C340" s="8"/>
      <c r="D340" s="8"/>
      <c r="E340" s="8"/>
      <c r="F340" s="129"/>
      <c r="G340" s="8"/>
      <c r="L340" s="157"/>
    </row>
    <row r="341">
      <c r="B341" s="8"/>
      <c r="C341" s="8"/>
      <c r="D341" s="8"/>
      <c r="E341" s="8"/>
      <c r="F341" s="129"/>
      <c r="G341" s="8"/>
      <c r="L341" s="157"/>
    </row>
    <row r="342">
      <c r="B342" s="8"/>
      <c r="C342" s="8"/>
      <c r="D342" s="8"/>
      <c r="E342" s="8"/>
      <c r="F342" s="129"/>
      <c r="G342" s="8"/>
      <c r="L342" s="157"/>
    </row>
    <row r="343">
      <c r="B343" s="8"/>
      <c r="C343" s="8"/>
      <c r="D343" s="8"/>
      <c r="E343" s="8"/>
      <c r="F343" s="129"/>
      <c r="G343" s="8"/>
      <c r="L343" s="157"/>
    </row>
    <row r="344">
      <c r="B344" s="8"/>
      <c r="C344" s="8"/>
      <c r="D344" s="8"/>
      <c r="E344" s="8"/>
      <c r="F344" s="129"/>
      <c r="G344" s="8"/>
      <c r="L344" s="157"/>
    </row>
    <row r="345">
      <c r="B345" s="8"/>
      <c r="C345" s="8"/>
      <c r="D345" s="8"/>
      <c r="E345" s="8"/>
      <c r="F345" s="129"/>
      <c r="G345" s="8"/>
      <c r="L345" s="157"/>
    </row>
    <row r="346">
      <c r="B346" s="8"/>
      <c r="C346" s="8"/>
      <c r="D346" s="8"/>
      <c r="E346" s="8"/>
      <c r="F346" s="129"/>
      <c r="G346" s="8"/>
      <c r="L346" s="157"/>
    </row>
    <row r="347">
      <c r="B347" s="8"/>
      <c r="C347" s="8"/>
      <c r="D347" s="8"/>
      <c r="E347" s="8"/>
      <c r="F347" s="129"/>
      <c r="G347" s="8"/>
      <c r="L347" s="157"/>
    </row>
    <row r="348">
      <c r="B348" s="8"/>
      <c r="C348" s="8"/>
      <c r="D348" s="8"/>
      <c r="E348" s="8"/>
      <c r="F348" s="129"/>
      <c r="G348" s="8"/>
      <c r="L348" s="157"/>
    </row>
    <row r="349">
      <c r="B349" s="8"/>
      <c r="C349" s="8"/>
      <c r="D349" s="8"/>
      <c r="E349" s="8"/>
      <c r="F349" s="129"/>
      <c r="G349" s="8"/>
      <c r="L349" s="157"/>
    </row>
    <row r="350">
      <c r="B350" s="8"/>
      <c r="C350" s="8"/>
      <c r="D350" s="8"/>
      <c r="E350" s="8"/>
      <c r="F350" s="129"/>
      <c r="G350" s="8"/>
      <c r="L350" s="157"/>
    </row>
    <row r="351">
      <c r="B351" s="8"/>
      <c r="C351" s="8"/>
      <c r="D351" s="8"/>
      <c r="E351" s="8"/>
      <c r="F351" s="129"/>
      <c r="G351" s="8"/>
      <c r="L351" s="157"/>
    </row>
    <row r="352">
      <c r="B352" s="8"/>
      <c r="C352" s="8"/>
      <c r="D352" s="8"/>
      <c r="E352" s="8"/>
      <c r="F352" s="129"/>
      <c r="G352" s="8"/>
      <c r="L352" s="157"/>
    </row>
    <row r="353">
      <c r="B353" s="8"/>
      <c r="C353" s="8"/>
      <c r="D353" s="8"/>
      <c r="E353" s="8"/>
      <c r="F353" s="129"/>
      <c r="G353" s="8"/>
      <c r="L353" s="157"/>
    </row>
    <row r="354">
      <c r="B354" s="8"/>
      <c r="C354" s="8"/>
      <c r="D354" s="8"/>
      <c r="E354" s="8"/>
      <c r="F354" s="129"/>
      <c r="G354" s="8"/>
      <c r="L354" s="157"/>
    </row>
    <row r="355">
      <c r="B355" s="8"/>
      <c r="C355" s="8"/>
      <c r="D355" s="8"/>
      <c r="E355" s="8"/>
      <c r="F355" s="129"/>
      <c r="G355" s="8"/>
      <c r="L355" s="157"/>
    </row>
    <row r="356">
      <c r="B356" s="8"/>
      <c r="C356" s="8"/>
      <c r="D356" s="8"/>
      <c r="E356" s="8"/>
      <c r="F356" s="129"/>
      <c r="G356" s="8"/>
      <c r="L356" s="157"/>
    </row>
    <row r="357">
      <c r="B357" s="8"/>
      <c r="C357" s="8"/>
      <c r="D357" s="8"/>
      <c r="E357" s="8"/>
      <c r="F357" s="129"/>
      <c r="G357" s="8"/>
      <c r="L357" s="157"/>
    </row>
    <row r="358">
      <c r="B358" s="8"/>
      <c r="C358" s="8"/>
      <c r="D358" s="8"/>
      <c r="E358" s="8"/>
      <c r="F358" s="129"/>
      <c r="G358" s="8"/>
      <c r="L358" s="157"/>
    </row>
    <row r="359">
      <c r="B359" s="8"/>
      <c r="C359" s="8"/>
      <c r="D359" s="8"/>
      <c r="E359" s="8"/>
      <c r="F359" s="129"/>
      <c r="G359" s="8"/>
      <c r="L359" s="157"/>
    </row>
    <row r="360">
      <c r="B360" s="8"/>
      <c r="C360" s="8"/>
      <c r="D360" s="8"/>
      <c r="E360" s="8"/>
      <c r="F360" s="129"/>
      <c r="G360" s="8"/>
      <c r="L360" s="157"/>
    </row>
    <row r="361">
      <c r="B361" s="8"/>
      <c r="C361" s="8"/>
      <c r="D361" s="8"/>
      <c r="E361" s="8"/>
      <c r="F361" s="129"/>
      <c r="G361" s="8"/>
      <c r="L361" s="157"/>
    </row>
    <row r="362">
      <c r="B362" s="8"/>
      <c r="C362" s="8"/>
      <c r="D362" s="8"/>
      <c r="E362" s="8"/>
      <c r="F362" s="129"/>
      <c r="G362" s="8"/>
      <c r="L362" s="157"/>
    </row>
    <row r="363">
      <c r="B363" s="8"/>
      <c r="C363" s="8"/>
      <c r="D363" s="8"/>
      <c r="E363" s="8"/>
      <c r="F363" s="129"/>
      <c r="G363" s="8"/>
      <c r="L363" s="157"/>
    </row>
    <row r="364">
      <c r="B364" s="8"/>
      <c r="C364" s="8"/>
      <c r="D364" s="8"/>
      <c r="E364" s="8"/>
      <c r="F364" s="129"/>
      <c r="G364" s="8"/>
      <c r="L364" s="157"/>
    </row>
    <row r="365">
      <c r="B365" s="8"/>
      <c r="C365" s="8"/>
      <c r="D365" s="8"/>
      <c r="E365" s="8"/>
      <c r="F365" s="129"/>
      <c r="G365" s="8"/>
      <c r="L365" s="157"/>
    </row>
    <row r="366">
      <c r="B366" s="8"/>
      <c r="C366" s="8"/>
      <c r="D366" s="8"/>
      <c r="E366" s="8"/>
      <c r="F366" s="129"/>
      <c r="G366" s="8"/>
      <c r="L366" s="157"/>
    </row>
    <row r="367">
      <c r="B367" s="8"/>
      <c r="C367" s="8"/>
      <c r="D367" s="8"/>
      <c r="E367" s="8"/>
      <c r="F367" s="129"/>
      <c r="G367" s="8"/>
      <c r="L367" s="157"/>
    </row>
    <row r="368">
      <c r="B368" s="8"/>
      <c r="C368" s="8"/>
      <c r="D368" s="8"/>
      <c r="E368" s="8"/>
      <c r="F368" s="129"/>
      <c r="G368" s="8"/>
      <c r="L368" s="157"/>
    </row>
    <row r="369">
      <c r="B369" s="8"/>
      <c r="C369" s="8"/>
      <c r="D369" s="8"/>
      <c r="E369" s="8"/>
      <c r="F369" s="129"/>
      <c r="G369" s="8"/>
      <c r="L369" s="157"/>
    </row>
    <row r="370">
      <c r="B370" s="8"/>
      <c r="C370" s="8"/>
      <c r="D370" s="8"/>
      <c r="E370" s="8"/>
      <c r="F370" s="129"/>
      <c r="G370" s="8"/>
      <c r="L370" s="157"/>
    </row>
    <row r="371">
      <c r="B371" s="8"/>
      <c r="C371" s="8"/>
      <c r="D371" s="8"/>
      <c r="E371" s="8"/>
      <c r="F371" s="129"/>
      <c r="G371" s="8"/>
      <c r="L371" s="157"/>
    </row>
    <row r="372">
      <c r="B372" s="8"/>
      <c r="C372" s="8"/>
      <c r="D372" s="8"/>
      <c r="E372" s="8"/>
      <c r="F372" s="129"/>
      <c r="G372" s="8"/>
      <c r="L372" s="157"/>
    </row>
    <row r="373">
      <c r="B373" s="8"/>
      <c r="C373" s="8"/>
      <c r="D373" s="8"/>
      <c r="E373" s="8"/>
      <c r="F373" s="129"/>
      <c r="G373" s="8"/>
      <c r="L373" s="157"/>
    </row>
    <row r="374">
      <c r="B374" s="8"/>
      <c r="C374" s="8"/>
      <c r="D374" s="8"/>
      <c r="E374" s="8"/>
      <c r="F374" s="129"/>
      <c r="G374" s="8"/>
      <c r="L374" s="157"/>
    </row>
    <row r="375">
      <c r="B375" s="8"/>
      <c r="C375" s="8"/>
      <c r="D375" s="8"/>
      <c r="E375" s="8"/>
      <c r="F375" s="129"/>
      <c r="G375" s="8"/>
      <c r="L375" s="157"/>
    </row>
    <row r="376">
      <c r="B376" s="8"/>
      <c r="C376" s="8"/>
      <c r="D376" s="8"/>
      <c r="E376" s="8"/>
      <c r="F376" s="129"/>
      <c r="G376" s="8"/>
      <c r="L376" s="157"/>
    </row>
    <row r="377">
      <c r="B377" s="8"/>
      <c r="C377" s="8"/>
      <c r="D377" s="8"/>
      <c r="E377" s="8"/>
      <c r="F377" s="129"/>
      <c r="G377" s="8"/>
      <c r="L377" s="157"/>
    </row>
    <row r="378">
      <c r="B378" s="8"/>
      <c r="C378" s="8"/>
      <c r="D378" s="8"/>
      <c r="E378" s="8"/>
      <c r="F378" s="129"/>
      <c r="G378" s="8"/>
      <c r="L378" s="157"/>
    </row>
    <row r="379">
      <c r="B379" s="8"/>
      <c r="C379" s="8"/>
      <c r="D379" s="8"/>
      <c r="E379" s="8"/>
      <c r="F379" s="129"/>
      <c r="G379" s="8"/>
      <c r="L379" s="157"/>
    </row>
    <row r="380">
      <c r="B380" s="8"/>
      <c r="C380" s="8"/>
      <c r="D380" s="8"/>
      <c r="E380" s="8"/>
      <c r="F380" s="129"/>
      <c r="G380" s="8"/>
      <c r="L380" s="157"/>
    </row>
    <row r="381">
      <c r="B381" s="8"/>
      <c r="C381" s="8"/>
      <c r="D381" s="8"/>
      <c r="E381" s="8"/>
      <c r="F381" s="129"/>
      <c r="G381" s="8"/>
      <c r="L381" s="157"/>
    </row>
    <row r="382">
      <c r="B382" s="8"/>
      <c r="C382" s="8"/>
      <c r="D382" s="8"/>
      <c r="E382" s="8"/>
      <c r="F382" s="129"/>
      <c r="G382" s="8"/>
      <c r="L382" s="157"/>
    </row>
    <row r="383">
      <c r="B383" s="8"/>
      <c r="C383" s="8"/>
      <c r="D383" s="8"/>
      <c r="E383" s="8"/>
      <c r="F383" s="129"/>
      <c r="G383" s="8"/>
      <c r="L383" s="157"/>
    </row>
    <row r="384">
      <c r="B384" s="8"/>
      <c r="C384" s="8"/>
      <c r="D384" s="8"/>
      <c r="E384" s="8"/>
      <c r="F384" s="129"/>
      <c r="G384" s="8"/>
      <c r="L384" s="157"/>
    </row>
    <row r="385">
      <c r="B385" s="8"/>
      <c r="C385" s="8"/>
      <c r="D385" s="8"/>
      <c r="E385" s="8"/>
      <c r="F385" s="129"/>
      <c r="G385" s="8"/>
      <c r="L385" s="157"/>
    </row>
    <row r="386">
      <c r="B386" s="8"/>
      <c r="C386" s="8"/>
      <c r="D386" s="8"/>
      <c r="E386" s="8"/>
      <c r="F386" s="129"/>
      <c r="G386" s="8"/>
      <c r="L386" s="157"/>
    </row>
    <row r="387">
      <c r="B387" s="8"/>
      <c r="C387" s="8"/>
      <c r="D387" s="8"/>
      <c r="E387" s="8"/>
      <c r="F387" s="129"/>
      <c r="G387" s="8"/>
      <c r="L387" s="157"/>
    </row>
    <row r="388">
      <c r="B388" s="8"/>
      <c r="C388" s="8"/>
      <c r="D388" s="8"/>
      <c r="E388" s="8"/>
      <c r="F388" s="129"/>
      <c r="G388" s="8"/>
      <c r="L388" s="157"/>
    </row>
    <row r="389">
      <c r="B389" s="8"/>
      <c r="C389" s="8"/>
      <c r="D389" s="8"/>
      <c r="E389" s="8"/>
      <c r="F389" s="129"/>
      <c r="G389" s="8"/>
      <c r="L389" s="157"/>
    </row>
    <row r="390">
      <c r="B390" s="8"/>
      <c r="C390" s="8"/>
      <c r="D390" s="8"/>
      <c r="E390" s="8"/>
      <c r="F390" s="129"/>
      <c r="G390" s="8"/>
      <c r="L390" s="157"/>
    </row>
    <row r="391">
      <c r="B391" s="8"/>
      <c r="C391" s="8"/>
      <c r="D391" s="8"/>
      <c r="E391" s="8"/>
      <c r="F391" s="129"/>
      <c r="G391" s="8"/>
      <c r="L391" s="157"/>
    </row>
    <row r="392">
      <c r="B392" s="8"/>
      <c r="C392" s="8"/>
      <c r="D392" s="8"/>
      <c r="E392" s="8"/>
      <c r="F392" s="129"/>
      <c r="G392" s="8"/>
      <c r="L392" s="157"/>
    </row>
    <row r="393">
      <c r="B393" s="8"/>
      <c r="C393" s="8"/>
      <c r="D393" s="8"/>
      <c r="E393" s="8"/>
      <c r="F393" s="129"/>
      <c r="G393" s="8"/>
      <c r="L393" s="157"/>
    </row>
    <row r="394">
      <c r="B394" s="8"/>
      <c r="C394" s="8"/>
      <c r="D394" s="8"/>
      <c r="E394" s="8"/>
      <c r="F394" s="129"/>
      <c r="G394" s="8"/>
      <c r="L394" s="157"/>
    </row>
    <row r="395">
      <c r="B395" s="8"/>
      <c r="C395" s="8"/>
      <c r="D395" s="8"/>
      <c r="E395" s="8"/>
      <c r="F395" s="129"/>
      <c r="G395" s="8"/>
      <c r="L395" s="157"/>
    </row>
    <row r="396">
      <c r="B396" s="8"/>
      <c r="C396" s="8"/>
      <c r="D396" s="8"/>
      <c r="E396" s="8"/>
      <c r="F396" s="129"/>
      <c r="G396" s="8"/>
      <c r="L396" s="157"/>
    </row>
    <row r="397">
      <c r="B397" s="8"/>
      <c r="C397" s="8"/>
      <c r="D397" s="8"/>
      <c r="E397" s="8"/>
      <c r="F397" s="129"/>
      <c r="G397" s="8"/>
      <c r="L397" s="157"/>
    </row>
    <row r="398">
      <c r="B398" s="8"/>
      <c r="C398" s="8"/>
      <c r="D398" s="8"/>
      <c r="E398" s="8"/>
      <c r="F398" s="129"/>
      <c r="G398" s="8"/>
      <c r="L398" s="157"/>
    </row>
    <row r="399">
      <c r="B399" s="8"/>
      <c r="C399" s="8"/>
      <c r="D399" s="8"/>
      <c r="E399" s="8"/>
      <c r="F399" s="129"/>
      <c r="G399" s="8"/>
      <c r="L399" s="157"/>
    </row>
    <row r="400">
      <c r="B400" s="8"/>
      <c r="C400" s="8"/>
      <c r="D400" s="8"/>
      <c r="E400" s="8"/>
      <c r="F400" s="129"/>
      <c r="G400" s="8"/>
      <c r="L400" s="157"/>
    </row>
    <row r="401">
      <c r="B401" s="8"/>
      <c r="C401" s="8"/>
      <c r="D401" s="8"/>
      <c r="E401" s="8"/>
      <c r="F401" s="129"/>
      <c r="G401" s="8"/>
      <c r="L401" s="157"/>
    </row>
    <row r="402">
      <c r="B402" s="8"/>
      <c r="C402" s="8"/>
      <c r="D402" s="8"/>
      <c r="E402" s="8"/>
      <c r="F402" s="129"/>
      <c r="G402" s="8"/>
      <c r="L402" s="157"/>
    </row>
    <row r="403">
      <c r="B403" s="8"/>
      <c r="C403" s="8"/>
      <c r="D403" s="8"/>
      <c r="E403" s="8"/>
      <c r="F403" s="129"/>
      <c r="G403" s="8"/>
      <c r="L403" s="157"/>
    </row>
    <row r="404">
      <c r="B404" s="8"/>
      <c r="C404" s="8"/>
      <c r="D404" s="8"/>
      <c r="E404" s="8"/>
      <c r="F404" s="129"/>
      <c r="G404" s="8"/>
      <c r="L404" s="157"/>
    </row>
    <row r="405">
      <c r="B405" s="8"/>
      <c r="C405" s="8"/>
      <c r="D405" s="8"/>
      <c r="E405" s="8"/>
      <c r="F405" s="129"/>
      <c r="G405" s="8"/>
      <c r="L405" s="157"/>
    </row>
    <row r="406">
      <c r="B406" s="8"/>
      <c r="C406" s="8"/>
      <c r="D406" s="8"/>
      <c r="E406" s="8"/>
      <c r="F406" s="129"/>
      <c r="G406" s="8"/>
      <c r="L406" s="157"/>
    </row>
    <row r="407">
      <c r="B407" s="8"/>
      <c r="C407" s="8"/>
      <c r="D407" s="8"/>
      <c r="E407" s="8"/>
      <c r="F407" s="129"/>
      <c r="G407" s="8"/>
      <c r="L407" s="157"/>
    </row>
    <row r="408">
      <c r="B408" s="8"/>
      <c r="C408" s="8"/>
      <c r="D408" s="8"/>
      <c r="E408" s="8"/>
      <c r="F408" s="129"/>
      <c r="G408" s="8"/>
      <c r="L408" s="157"/>
    </row>
    <row r="409">
      <c r="B409" s="8"/>
      <c r="C409" s="8"/>
      <c r="D409" s="8"/>
      <c r="E409" s="8"/>
      <c r="F409" s="129"/>
      <c r="G409" s="8"/>
      <c r="L409" s="157"/>
    </row>
    <row r="410">
      <c r="B410" s="8"/>
      <c r="C410" s="8"/>
      <c r="D410" s="8"/>
      <c r="E410" s="8"/>
      <c r="F410" s="129"/>
      <c r="G410" s="8"/>
      <c r="L410" s="157"/>
    </row>
    <row r="411">
      <c r="B411" s="8"/>
      <c r="C411" s="8"/>
      <c r="D411" s="8"/>
      <c r="E411" s="8"/>
      <c r="F411" s="129"/>
      <c r="G411" s="8"/>
      <c r="L411" s="157"/>
    </row>
    <row r="412">
      <c r="B412" s="8"/>
      <c r="C412" s="8"/>
      <c r="D412" s="8"/>
      <c r="E412" s="8"/>
      <c r="F412" s="129"/>
      <c r="G412" s="8"/>
      <c r="L412" s="157"/>
    </row>
    <row r="413">
      <c r="B413" s="8"/>
      <c r="C413" s="8"/>
      <c r="D413" s="8"/>
      <c r="E413" s="8"/>
      <c r="F413" s="129"/>
      <c r="G413" s="8"/>
      <c r="L413" s="157"/>
    </row>
    <row r="414">
      <c r="B414" s="8"/>
      <c r="C414" s="8"/>
      <c r="D414" s="8"/>
      <c r="E414" s="8"/>
      <c r="F414" s="129"/>
      <c r="G414" s="8"/>
      <c r="L414" s="157"/>
    </row>
    <row r="415">
      <c r="B415" s="8"/>
      <c r="C415" s="8"/>
      <c r="D415" s="8"/>
      <c r="E415" s="8"/>
      <c r="F415" s="129"/>
      <c r="G415" s="8"/>
      <c r="L415" s="157"/>
    </row>
    <row r="416">
      <c r="B416" s="8"/>
      <c r="C416" s="8"/>
      <c r="D416" s="8"/>
      <c r="E416" s="8"/>
      <c r="F416" s="129"/>
      <c r="G416" s="8"/>
      <c r="L416" s="157"/>
    </row>
    <row r="417">
      <c r="B417" s="8"/>
      <c r="C417" s="8"/>
      <c r="D417" s="8"/>
      <c r="E417" s="8"/>
      <c r="F417" s="129"/>
      <c r="G417" s="8"/>
      <c r="L417" s="157"/>
    </row>
    <row r="418">
      <c r="B418" s="8"/>
      <c r="C418" s="8"/>
      <c r="D418" s="8"/>
      <c r="E418" s="8"/>
      <c r="F418" s="129"/>
      <c r="G418" s="8"/>
      <c r="L418" s="157"/>
    </row>
    <row r="419">
      <c r="B419" s="8"/>
      <c r="C419" s="8"/>
      <c r="D419" s="8"/>
      <c r="E419" s="8"/>
      <c r="F419" s="129"/>
      <c r="G419" s="8"/>
      <c r="L419" s="157"/>
    </row>
    <row r="420">
      <c r="B420" s="8"/>
      <c r="C420" s="8"/>
      <c r="D420" s="8"/>
      <c r="E420" s="8"/>
      <c r="F420" s="129"/>
      <c r="G420" s="8"/>
      <c r="L420" s="157"/>
    </row>
    <row r="421">
      <c r="B421" s="8"/>
      <c r="C421" s="8"/>
      <c r="D421" s="8"/>
      <c r="E421" s="8"/>
      <c r="F421" s="129"/>
      <c r="G421" s="8"/>
      <c r="L421" s="157"/>
    </row>
    <row r="422">
      <c r="B422" s="8"/>
      <c r="C422" s="8"/>
      <c r="D422" s="8"/>
      <c r="E422" s="8"/>
      <c r="F422" s="129"/>
      <c r="G422" s="8"/>
      <c r="L422" s="157"/>
    </row>
    <row r="423">
      <c r="B423" s="8"/>
      <c r="C423" s="8"/>
      <c r="D423" s="8"/>
      <c r="E423" s="8"/>
      <c r="F423" s="129"/>
      <c r="G423" s="8"/>
      <c r="L423" s="157"/>
    </row>
    <row r="424">
      <c r="B424" s="8"/>
      <c r="C424" s="8"/>
      <c r="D424" s="8"/>
      <c r="E424" s="8"/>
      <c r="F424" s="129"/>
      <c r="G424" s="8"/>
      <c r="L424" s="157"/>
    </row>
    <row r="425">
      <c r="B425" s="8"/>
      <c r="C425" s="8"/>
      <c r="D425" s="8"/>
      <c r="E425" s="8"/>
      <c r="F425" s="129"/>
      <c r="G425" s="8"/>
      <c r="L425" s="157"/>
    </row>
    <row r="426">
      <c r="B426" s="8"/>
      <c r="C426" s="8"/>
      <c r="D426" s="8"/>
      <c r="E426" s="8"/>
      <c r="F426" s="129"/>
      <c r="G426" s="8"/>
      <c r="L426" s="157"/>
    </row>
    <row r="427">
      <c r="B427" s="8"/>
      <c r="C427" s="8"/>
      <c r="D427" s="8"/>
      <c r="E427" s="8"/>
      <c r="F427" s="129"/>
      <c r="G427" s="8"/>
      <c r="L427" s="157"/>
    </row>
    <row r="428">
      <c r="B428" s="8"/>
      <c r="C428" s="8"/>
      <c r="D428" s="8"/>
      <c r="E428" s="8"/>
      <c r="F428" s="129"/>
      <c r="G428" s="8"/>
      <c r="L428" s="157"/>
    </row>
    <row r="429">
      <c r="B429" s="8"/>
      <c r="C429" s="8"/>
      <c r="D429" s="8"/>
      <c r="E429" s="8"/>
      <c r="F429" s="129"/>
      <c r="G429" s="8"/>
      <c r="L429" s="157"/>
    </row>
    <row r="430">
      <c r="B430" s="8"/>
      <c r="C430" s="8"/>
      <c r="D430" s="8"/>
      <c r="E430" s="8"/>
      <c r="F430" s="129"/>
      <c r="G430" s="8"/>
      <c r="L430" s="157"/>
    </row>
    <row r="431">
      <c r="B431" s="8"/>
      <c r="C431" s="8"/>
      <c r="D431" s="8"/>
      <c r="E431" s="8"/>
      <c r="F431" s="129"/>
      <c r="G431" s="8"/>
      <c r="L431" s="157"/>
    </row>
    <row r="432">
      <c r="B432" s="8"/>
      <c r="C432" s="8"/>
      <c r="D432" s="8"/>
      <c r="E432" s="8"/>
      <c r="F432" s="129"/>
      <c r="G432" s="8"/>
      <c r="L432" s="157"/>
    </row>
    <row r="433">
      <c r="B433" s="8"/>
      <c r="C433" s="8"/>
      <c r="D433" s="8"/>
      <c r="E433" s="8"/>
      <c r="F433" s="129"/>
      <c r="G433" s="8"/>
      <c r="L433" s="157"/>
    </row>
    <row r="434">
      <c r="B434" s="8"/>
      <c r="C434" s="8"/>
      <c r="D434" s="8"/>
      <c r="E434" s="8"/>
      <c r="F434" s="129"/>
      <c r="G434" s="8"/>
      <c r="L434" s="157"/>
    </row>
    <row r="435">
      <c r="B435" s="8"/>
      <c r="C435" s="8"/>
      <c r="D435" s="8"/>
      <c r="E435" s="8"/>
      <c r="F435" s="129"/>
      <c r="G435" s="8"/>
      <c r="L435" s="157"/>
    </row>
    <row r="436">
      <c r="B436" s="8"/>
      <c r="C436" s="8"/>
      <c r="D436" s="8"/>
      <c r="E436" s="8"/>
      <c r="F436" s="129"/>
      <c r="G436" s="8"/>
      <c r="L436" s="157"/>
    </row>
    <row r="437">
      <c r="B437" s="8"/>
      <c r="C437" s="8"/>
      <c r="D437" s="8"/>
      <c r="E437" s="8"/>
      <c r="F437" s="129"/>
      <c r="G437" s="8"/>
      <c r="L437" s="157"/>
    </row>
    <row r="438">
      <c r="B438" s="8"/>
      <c r="C438" s="8"/>
      <c r="D438" s="8"/>
      <c r="E438" s="8"/>
      <c r="F438" s="129"/>
      <c r="G438" s="8"/>
      <c r="L438" s="157"/>
    </row>
    <row r="439">
      <c r="B439" s="8"/>
      <c r="C439" s="8"/>
      <c r="D439" s="8"/>
      <c r="E439" s="8"/>
      <c r="F439" s="129"/>
      <c r="G439" s="8"/>
      <c r="L439" s="157"/>
    </row>
    <row r="440">
      <c r="B440" s="8"/>
      <c r="C440" s="8"/>
      <c r="D440" s="8"/>
      <c r="E440" s="8"/>
      <c r="F440" s="129"/>
      <c r="G440" s="8"/>
      <c r="L440" s="157"/>
    </row>
    <row r="441">
      <c r="B441" s="8"/>
      <c r="C441" s="8"/>
      <c r="D441" s="8"/>
      <c r="E441" s="8"/>
      <c r="F441" s="129"/>
      <c r="G441" s="8"/>
      <c r="L441" s="157"/>
    </row>
    <row r="442">
      <c r="B442" s="8"/>
      <c r="C442" s="8"/>
      <c r="D442" s="8"/>
      <c r="E442" s="8"/>
      <c r="F442" s="129"/>
      <c r="G442" s="8"/>
      <c r="L442" s="157"/>
    </row>
    <row r="443">
      <c r="B443" s="8"/>
      <c r="C443" s="8"/>
      <c r="D443" s="8"/>
      <c r="E443" s="8"/>
      <c r="F443" s="129"/>
      <c r="G443" s="8"/>
      <c r="L443" s="157"/>
    </row>
    <row r="444">
      <c r="B444" s="8"/>
      <c r="C444" s="8"/>
      <c r="D444" s="8"/>
      <c r="E444" s="8"/>
      <c r="F444" s="129"/>
      <c r="G444" s="8"/>
      <c r="L444" s="157"/>
    </row>
    <row r="445">
      <c r="B445" s="8"/>
      <c r="C445" s="8"/>
      <c r="D445" s="8"/>
      <c r="E445" s="8"/>
      <c r="F445" s="129"/>
      <c r="G445" s="8"/>
      <c r="L445" s="157"/>
    </row>
    <row r="446">
      <c r="B446" s="8"/>
      <c r="C446" s="8"/>
      <c r="D446" s="8"/>
      <c r="E446" s="8"/>
      <c r="F446" s="129"/>
      <c r="G446" s="8"/>
      <c r="L446" s="157"/>
    </row>
    <row r="447">
      <c r="B447" s="8"/>
      <c r="C447" s="8"/>
      <c r="D447" s="8"/>
      <c r="E447" s="8"/>
      <c r="F447" s="129"/>
      <c r="G447" s="8"/>
      <c r="L447" s="157"/>
    </row>
    <row r="448">
      <c r="B448" s="8"/>
      <c r="C448" s="8"/>
      <c r="D448" s="8"/>
      <c r="E448" s="8"/>
      <c r="F448" s="129"/>
      <c r="G448" s="8"/>
      <c r="L448" s="157"/>
    </row>
    <row r="449">
      <c r="B449" s="8"/>
      <c r="C449" s="8"/>
      <c r="D449" s="8"/>
      <c r="E449" s="8"/>
      <c r="F449" s="129"/>
      <c r="G449" s="8"/>
      <c r="L449" s="157"/>
    </row>
    <row r="450">
      <c r="B450" s="8"/>
      <c r="C450" s="8"/>
      <c r="D450" s="8"/>
      <c r="E450" s="8"/>
      <c r="F450" s="129"/>
      <c r="G450" s="8"/>
      <c r="L450" s="157"/>
    </row>
    <row r="451">
      <c r="B451" s="8"/>
      <c r="C451" s="8"/>
      <c r="D451" s="8"/>
      <c r="E451" s="8"/>
      <c r="F451" s="129"/>
      <c r="G451" s="8"/>
      <c r="L451" s="157"/>
    </row>
    <row r="452">
      <c r="B452" s="8"/>
      <c r="C452" s="8"/>
      <c r="D452" s="8"/>
      <c r="E452" s="8"/>
      <c r="F452" s="129"/>
      <c r="G452" s="8"/>
      <c r="L452" s="157"/>
    </row>
    <row r="453">
      <c r="B453" s="8"/>
      <c r="C453" s="8"/>
      <c r="D453" s="8"/>
      <c r="E453" s="8"/>
      <c r="F453" s="129"/>
      <c r="G453" s="8"/>
      <c r="L453" s="157"/>
    </row>
    <row r="454">
      <c r="B454" s="8"/>
      <c r="C454" s="8"/>
      <c r="D454" s="8"/>
      <c r="E454" s="8"/>
      <c r="F454" s="129"/>
      <c r="G454" s="8"/>
      <c r="L454" s="157"/>
    </row>
    <row r="455">
      <c r="B455" s="8"/>
      <c r="C455" s="8"/>
      <c r="D455" s="8"/>
      <c r="E455" s="8"/>
      <c r="F455" s="129"/>
      <c r="G455" s="8"/>
      <c r="L455" s="157"/>
    </row>
    <row r="456">
      <c r="B456" s="8"/>
      <c r="C456" s="8"/>
      <c r="D456" s="8"/>
      <c r="E456" s="8"/>
      <c r="F456" s="129"/>
      <c r="G456" s="8"/>
      <c r="L456" s="157"/>
    </row>
    <row r="457">
      <c r="B457" s="8"/>
      <c r="C457" s="8"/>
      <c r="D457" s="8"/>
      <c r="E457" s="8"/>
      <c r="F457" s="129"/>
      <c r="G457" s="8"/>
      <c r="L457" s="157"/>
    </row>
    <row r="458">
      <c r="B458" s="8"/>
      <c r="C458" s="8"/>
      <c r="D458" s="8"/>
      <c r="E458" s="8"/>
      <c r="F458" s="129"/>
      <c r="G458" s="8"/>
      <c r="L458" s="157"/>
    </row>
    <row r="459">
      <c r="B459" s="8"/>
      <c r="C459" s="8"/>
      <c r="D459" s="8"/>
      <c r="E459" s="8"/>
      <c r="F459" s="129"/>
      <c r="G459" s="8"/>
      <c r="L459" s="157"/>
    </row>
    <row r="460">
      <c r="B460" s="8"/>
      <c r="C460" s="8"/>
      <c r="D460" s="8"/>
      <c r="E460" s="8"/>
      <c r="F460" s="129"/>
      <c r="G460" s="8"/>
      <c r="L460" s="157"/>
    </row>
    <row r="461">
      <c r="B461" s="8"/>
      <c r="C461" s="8"/>
      <c r="D461" s="8"/>
      <c r="E461" s="8"/>
      <c r="F461" s="129"/>
      <c r="G461" s="8"/>
      <c r="L461" s="157"/>
    </row>
    <row r="462">
      <c r="B462" s="8"/>
      <c r="C462" s="8"/>
      <c r="D462" s="8"/>
      <c r="E462" s="8"/>
      <c r="F462" s="129"/>
      <c r="G462" s="8"/>
      <c r="L462" s="157"/>
    </row>
    <row r="463">
      <c r="B463" s="8"/>
      <c r="C463" s="8"/>
      <c r="D463" s="8"/>
      <c r="E463" s="8"/>
      <c r="F463" s="129"/>
      <c r="G463" s="8"/>
      <c r="L463" s="157"/>
    </row>
    <row r="464">
      <c r="B464" s="8"/>
      <c r="C464" s="8"/>
      <c r="D464" s="8"/>
      <c r="E464" s="8"/>
      <c r="F464" s="129"/>
      <c r="G464" s="8"/>
      <c r="L464" s="157"/>
    </row>
    <row r="465">
      <c r="B465" s="8"/>
      <c r="C465" s="8"/>
      <c r="D465" s="8"/>
      <c r="E465" s="8"/>
      <c r="F465" s="129"/>
      <c r="G465" s="8"/>
      <c r="L465" s="157"/>
    </row>
    <row r="466">
      <c r="B466" s="8"/>
      <c r="C466" s="8"/>
      <c r="D466" s="8"/>
      <c r="E466" s="8"/>
      <c r="F466" s="129"/>
      <c r="G466" s="8"/>
      <c r="L466" s="157"/>
    </row>
    <row r="467">
      <c r="B467" s="8"/>
      <c r="C467" s="8"/>
      <c r="D467" s="8"/>
      <c r="E467" s="8"/>
      <c r="F467" s="129"/>
      <c r="G467" s="8"/>
      <c r="L467" s="157"/>
    </row>
    <row r="468">
      <c r="B468" s="8"/>
      <c r="C468" s="8"/>
      <c r="D468" s="8"/>
      <c r="E468" s="8"/>
      <c r="F468" s="129"/>
      <c r="G468" s="8"/>
      <c r="L468" s="157"/>
    </row>
    <row r="469">
      <c r="B469" s="8"/>
      <c r="C469" s="8"/>
      <c r="D469" s="8"/>
      <c r="E469" s="8"/>
      <c r="F469" s="129"/>
      <c r="G469" s="8"/>
      <c r="L469" s="157"/>
    </row>
    <row r="470">
      <c r="B470" s="8"/>
      <c r="C470" s="8"/>
      <c r="D470" s="8"/>
      <c r="E470" s="8"/>
      <c r="F470" s="129"/>
      <c r="G470" s="8"/>
      <c r="L470" s="157"/>
    </row>
    <row r="471">
      <c r="B471" s="8"/>
      <c r="C471" s="8"/>
      <c r="D471" s="8"/>
      <c r="E471" s="8"/>
      <c r="F471" s="129"/>
      <c r="G471" s="8"/>
      <c r="L471" s="157"/>
    </row>
    <row r="472">
      <c r="B472" s="8"/>
      <c r="C472" s="8"/>
      <c r="D472" s="8"/>
      <c r="E472" s="8"/>
      <c r="F472" s="129"/>
      <c r="G472" s="8"/>
      <c r="L472" s="157"/>
    </row>
    <row r="473">
      <c r="B473" s="8"/>
      <c r="C473" s="8"/>
      <c r="D473" s="8"/>
      <c r="E473" s="8"/>
      <c r="F473" s="129"/>
      <c r="G473" s="8"/>
      <c r="L473" s="157"/>
    </row>
    <row r="474">
      <c r="B474" s="8"/>
      <c r="C474" s="8"/>
      <c r="D474" s="8"/>
      <c r="E474" s="8"/>
      <c r="F474" s="129"/>
      <c r="G474" s="8"/>
      <c r="L474" s="157"/>
    </row>
    <row r="475">
      <c r="B475" s="8"/>
      <c r="C475" s="8"/>
      <c r="D475" s="8"/>
      <c r="E475" s="8"/>
      <c r="F475" s="129"/>
      <c r="G475" s="8"/>
      <c r="L475" s="157"/>
    </row>
    <row r="476">
      <c r="B476" s="8"/>
      <c r="C476" s="8"/>
      <c r="D476" s="8"/>
      <c r="E476" s="8"/>
      <c r="F476" s="129"/>
      <c r="G476" s="8"/>
      <c r="L476" s="157"/>
    </row>
    <row r="477">
      <c r="B477" s="8"/>
      <c r="C477" s="8"/>
      <c r="D477" s="8"/>
      <c r="E477" s="8"/>
      <c r="F477" s="129"/>
      <c r="G477" s="8"/>
      <c r="L477" s="157"/>
    </row>
    <row r="478">
      <c r="B478" s="8"/>
      <c r="C478" s="8"/>
      <c r="D478" s="8"/>
      <c r="E478" s="8"/>
      <c r="F478" s="129"/>
      <c r="G478" s="8"/>
      <c r="L478" s="157"/>
    </row>
    <row r="479">
      <c r="B479" s="8"/>
      <c r="C479" s="8"/>
      <c r="D479" s="8"/>
      <c r="E479" s="8"/>
      <c r="F479" s="129"/>
      <c r="G479" s="8"/>
      <c r="L479" s="157"/>
    </row>
    <row r="480">
      <c r="B480" s="8"/>
      <c r="C480" s="8"/>
      <c r="D480" s="8"/>
      <c r="E480" s="8"/>
      <c r="F480" s="129"/>
      <c r="G480" s="8"/>
      <c r="L480" s="157"/>
    </row>
    <row r="481">
      <c r="B481" s="8"/>
      <c r="C481" s="8"/>
      <c r="D481" s="8"/>
      <c r="E481" s="8"/>
      <c r="F481" s="129"/>
      <c r="G481" s="8"/>
      <c r="L481" s="157"/>
    </row>
    <row r="482">
      <c r="B482" s="8"/>
      <c r="C482" s="8"/>
      <c r="D482" s="8"/>
      <c r="E482" s="8"/>
      <c r="F482" s="129"/>
      <c r="G482" s="8"/>
      <c r="L482" s="157"/>
    </row>
    <row r="483">
      <c r="B483" s="8"/>
      <c r="C483" s="8"/>
      <c r="D483" s="8"/>
      <c r="E483" s="8"/>
      <c r="F483" s="129"/>
      <c r="G483" s="8"/>
      <c r="L483" s="157"/>
    </row>
    <row r="484">
      <c r="B484" s="8"/>
      <c r="C484" s="8"/>
      <c r="D484" s="8"/>
      <c r="E484" s="8"/>
      <c r="F484" s="129"/>
      <c r="G484" s="8"/>
      <c r="L484" s="157"/>
    </row>
    <row r="485">
      <c r="B485" s="8"/>
      <c r="C485" s="8"/>
      <c r="D485" s="8"/>
      <c r="E485" s="8"/>
      <c r="F485" s="129"/>
      <c r="G485" s="8"/>
      <c r="L485" s="157"/>
    </row>
    <row r="486">
      <c r="B486" s="8"/>
      <c r="C486" s="8"/>
      <c r="D486" s="8"/>
      <c r="E486" s="8"/>
      <c r="F486" s="129"/>
      <c r="G486" s="8"/>
      <c r="L486" s="157"/>
    </row>
    <row r="487">
      <c r="B487" s="8"/>
      <c r="C487" s="8"/>
      <c r="D487" s="8"/>
      <c r="E487" s="8"/>
      <c r="F487" s="129"/>
      <c r="G487" s="8"/>
      <c r="L487" s="157"/>
    </row>
    <row r="488">
      <c r="B488" s="8"/>
      <c r="C488" s="8"/>
      <c r="D488" s="8"/>
      <c r="E488" s="8"/>
      <c r="F488" s="129"/>
      <c r="G488" s="8"/>
      <c r="L488" s="157"/>
    </row>
    <row r="489">
      <c r="B489" s="8"/>
      <c r="C489" s="8"/>
      <c r="D489" s="8"/>
      <c r="E489" s="8"/>
      <c r="F489" s="129"/>
      <c r="G489" s="8"/>
      <c r="L489" s="157"/>
    </row>
    <row r="490">
      <c r="B490" s="8"/>
      <c r="C490" s="8"/>
      <c r="D490" s="8"/>
      <c r="E490" s="8"/>
      <c r="F490" s="129"/>
      <c r="G490" s="8"/>
      <c r="L490" s="157"/>
    </row>
    <row r="491">
      <c r="B491" s="8"/>
      <c r="C491" s="8"/>
      <c r="D491" s="8"/>
      <c r="E491" s="8"/>
      <c r="F491" s="129"/>
      <c r="G491" s="8"/>
      <c r="L491" s="157"/>
    </row>
    <row r="492">
      <c r="B492" s="8"/>
      <c r="C492" s="8"/>
      <c r="D492" s="8"/>
      <c r="E492" s="8"/>
      <c r="F492" s="129"/>
      <c r="G492" s="8"/>
      <c r="L492" s="157"/>
    </row>
    <row r="493">
      <c r="B493" s="8"/>
      <c r="C493" s="8"/>
      <c r="D493" s="8"/>
      <c r="E493" s="8"/>
      <c r="F493" s="129"/>
      <c r="G493" s="8"/>
      <c r="L493" s="157"/>
    </row>
    <row r="494">
      <c r="B494" s="8"/>
      <c r="C494" s="8"/>
      <c r="D494" s="8"/>
      <c r="E494" s="8"/>
      <c r="F494" s="129"/>
      <c r="G494" s="8"/>
      <c r="L494" s="157"/>
    </row>
    <row r="495">
      <c r="B495" s="8"/>
      <c r="C495" s="8"/>
      <c r="D495" s="8"/>
      <c r="E495" s="8"/>
      <c r="F495" s="129"/>
      <c r="G495" s="8"/>
      <c r="L495" s="157"/>
    </row>
    <row r="496">
      <c r="B496" s="8"/>
      <c r="C496" s="8"/>
      <c r="D496" s="8"/>
      <c r="E496" s="8"/>
      <c r="F496" s="129"/>
      <c r="G496" s="8"/>
      <c r="L496" s="157"/>
    </row>
    <row r="497">
      <c r="B497" s="8"/>
      <c r="C497" s="8"/>
      <c r="D497" s="8"/>
      <c r="E497" s="8"/>
      <c r="F497" s="129"/>
      <c r="G497" s="8"/>
      <c r="L497" s="157"/>
    </row>
    <row r="498">
      <c r="B498" s="8"/>
      <c r="C498" s="8"/>
      <c r="D498" s="8"/>
      <c r="E498" s="8"/>
      <c r="F498" s="129"/>
      <c r="G498" s="8"/>
      <c r="L498" s="157"/>
    </row>
    <row r="499">
      <c r="B499" s="8"/>
      <c r="C499" s="8"/>
      <c r="D499" s="8"/>
      <c r="E499" s="8"/>
      <c r="F499" s="129"/>
      <c r="G499" s="8"/>
      <c r="L499" s="157"/>
    </row>
    <row r="500">
      <c r="B500" s="8"/>
      <c r="C500" s="8"/>
      <c r="D500" s="8"/>
      <c r="E500" s="8"/>
      <c r="F500" s="129"/>
      <c r="G500" s="8"/>
      <c r="L500" s="157"/>
    </row>
    <row r="501">
      <c r="B501" s="8"/>
      <c r="C501" s="8"/>
      <c r="D501" s="8"/>
      <c r="E501" s="8"/>
      <c r="F501" s="129"/>
      <c r="G501" s="8"/>
      <c r="L501" s="157"/>
    </row>
    <row r="502">
      <c r="B502" s="8"/>
      <c r="C502" s="8"/>
      <c r="D502" s="8"/>
      <c r="E502" s="8"/>
      <c r="F502" s="129"/>
      <c r="G502" s="8"/>
      <c r="L502" s="157"/>
    </row>
    <row r="503">
      <c r="B503" s="8"/>
      <c r="C503" s="8"/>
      <c r="D503" s="8"/>
      <c r="E503" s="8"/>
      <c r="F503" s="129"/>
      <c r="G503" s="8"/>
      <c r="L503" s="157"/>
    </row>
    <row r="504">
      <c r="B504" s="8"/>
      <c r="C504" s="8"/>
      <c r="D504" s="8"/>
      <c r="E504" s="8"/>
      <c r="F504" s="129"/>
      <c r="G504" s="8"/>
      <c r="L504" s="157"/>
    </row>
    <row r="505">
      <c r="B505" s="8"/>
      <c r="C505" s="8"/>
      <c r="D505" s="8"/>
      <c r="E505" s="8"/>
      <c r="F505" s="129"/>
      <c r="G505" s="8"/>
      <c r="L505" s="157"/>
    </row>
    <row r="506">
      <c r="B506" s="8"/>
      <c r="C506" s="8"/>
      <c r="D506" s="8"/>
      <c r="E506" s="8"/>
      <c r="F506" s="129"/>
      <c r="G506" s="8"/>
      <c r="L506" s="157"/>
    </row>
    <row r="507">
      <c r="B507" s="8"/>
      <c r="C507" s="8"/>
      <c r="D507" s="8"/>
      <c r="E507" s="8"/>
      <c r="F507" s="129"/>
      <c r="G507" s="8"/>
      <c r="L507" s="157"/>
    </row>
    <row r="508">
      <c r="B508" s="8"/>
      <c r="C508" s="8"/>
      <c r="D508" s="8"/>
      <c r="E508" s="8"/>
      <c r="F508" s="129"/>
      <c r="G508" s="8"/>
      <c r="L508" s="157"/>
    </row>
    <row r="509">
      <c r="B509" s="8"/>
      <c r="C509" s="8"/>
      <c r="D509" s="8"/>
      <c r="E509" s="8"/>
      <c r="F509" s="129"/>
      <c r="G509" s="8"/>
      <c r="L509" s="157"/>
    </row>
    <row r="510">
      <c r="B510" s="8"/>
      <c r="C510" s="8"/>
      <c r="D510" s="8"/>
      <c r="E510" s="8"/>
      <c r="F510" s="129"/>
      <c r="G510" s="8"/>
      <c r="L510" s="157"/>
    </row>
    <row r="511">
      <c r="B511" s="8"/>
      <c r="C511" s="8"/>
      <c r="D511" s="8"/>
      <c r="E511" s="8"/>
      <c r="F511" s="129"/>
      <c r="G511" s="8"/>
      <c r="L511" s="157"/>
    </row>
    <row r="512">
      <c r="B512" s="8"/>
      <c r="C512" s="8"/>
      <c r="D512" s="8"/>
      <c r="E512" s="8"/>
      <c r="F512" s="129"/>
      <c r="G512" s="8"/>
      <c r="L512" s="157"/>
    </row>
    <row r="513">
      <c r="B513" s="8"/>
      <c r="C513" s="8"/>
      <c r="D513" s="8"/>
      <c r="E513" s="8"/>
      <c r="F513" s="129"/>
      <c r="G513" s="8"/>
      <c r="L513" s="157"/>
    </row>
    <row r="514">
      <c r="B514" s="8"/>
      <c r="C514" s="8"/>
      <c r="D514" s="8"/>
      <c r="E514" s="8"/>
      <c r="F514" s="129"/>
      <c r="G514" s="8"/>
      <c r="L514" s="157"/>
    </row>
    <row r="515">
      <c r="B515" s="8"/>
      <c r="C515" s="8"/>
      <c r="D515" s="8"/>
      <c r="E515" s="8"/>
      <c r="F515" s="129"/>
      <c r="G515" s="8"/>
      <c r="L515" s="157"/>
    </row>
    <row r="516">
      <c r="B516" s="8"/>
      <c r="C516" s="8"/>
      <c r="D516" s="8"/>
      <c r="E516" s="8"/>
      <c r="F516" s="129"/>
      <c r="G516" s="8"/>
      <c r="L516" s="157"/>
    </row>
    <row r="517">
      <c r="B517" s="8"/>
      <c r="C517" s="8"/>
      <c r="D517" s="8"/>
      <c r="E517" s="8"/>
      <c r="F517" s="129"/>
      <c r="G517" s="8"/>
      <c r="L517" s="157"/>
    </row>
    <row r="518">
      <c r="B518" s="8"/>
      <c r="C518" s="8"/>
      <c r="D518" s="8"/>
      <c r="E518" s="8"/>
      <c r="F518" s="129"/>
      <c r="G518" s="8"/>
      <c r="L518" s="157"/>
    </row>
    <row r="519">
      <c r="B519" s="8"/>
      <c r="C519" s="8"/>
      <c r="D519" s="8"/>
      <c r="E519" s="8"/>
      <c r="F519" s="129"/>
      <c r="G519" s="8"/>
      <c r="L519" s="157"/>
    </row>
    <row r="520">
      <c r="B520" s="8"/>
      <c r="C520" s="8"/>
      <c r="D520" s="8"/>
      <c r="E520" s="8"/>
      <c r="F520" s="129"/>
      <c r="G520" s="8"/>
      <c r="L520" s="157"/>
    </row>
    <row r="521">
      <c r="B521" s="8"/>
      <c r="C521" s="8"/>
      <c r="D521" s="8"/>
      <c r="E521" s="8"/>
      <c r="F521" s="129"/>
      <c r="G521" s="8"/>
      <c r="L521" s="157"/>
    </row>
    <row r="522">
      <c r="B522" s="8"/>
      <c r="C522" s="8"/>
      <c r="D522" s="8"/>
      <c r="E522" s="8"/>
      <c r="F522" s="129"/>
      <c r="G522" s="8"/>
      <c r="L522" s="157"/>
    </row>
    <row r="523">
      <c r="B523" s="8"/>
      <c r="C523" s="8"/>
      <c r="D523" s="8"/>
      <c r="E523" s="8"/>
      <c r="F523" s="129"/>
      <c r="G523" s="8"/>
      <c r="L523" s="157"/>
    </row>
    <row r="524">
      <c r="B524" s="8"/>
      <c r="C524" s="8"/>
      <c r="D524" s="8"/>
      <c r="E524" s="8"/>
      <c r="F524" s="129"/>
      <c r="G524" s="8"/>
      <c r="L524" s="157"/>
    </row>
    <row r="525">
      <c r="B525" s="8"/>
      <c r="C525" s="8"/>
      <c r="D525" s="8"/>
      <c r="E525" s="8"/>
      <c r="F525" s="129"/>
      <c r="G525" s="8"/>
      <c r="L525" s="157"/>
    </row>
    <row r="526">
      <c r="B526" s="8"/>
      <c r="C526" s="8"/>
      <c r="D526" s="8"/>
      <c r="E526" s="8"/>
      <c r="F526" s="129"/>
      <c r="G526" s="8"/>
      <c r="L526" s="157"/>
    </row>
    <row r="527">
      <c r="B527" s="8"/>
      <c r="C527" s="8"/>
      <c r="D527" s="8"/>
      <c r="E527" s="8"/>
      <c r="F527" s="129"/>
      <c r="G527" s="8"/>
      <c r="L527" s="157"/>
    </row>
    <row r="528">
      <c r="B528" s="8"/>
      <c r="C528" s="8"/>
      <c r="D528" s="8"/>
      <c r="E528" s="8"/>
      <c r="F528" s="129"/>
      <c r="G528" s="8"/>
      <c r="L528" s="157"/>
    </row>
    <row r="529">
      <c r="B529" s="8"/>
      <c r="C529" s="8"/>
      <c r="D529" s="8"/>
      <c r="E529" s="8"/>
      <c r="F529" s="129"/>
      <c r="G529" s="8"/>
      <c r="L529" s="157"/>
    </row>
    <row r="530">
      <c r="B530" s="8"/>
      <c r="C530" s="8"/>
      <c r="D530" s="8"/>
      <c r="E530" s="8"/>
      <c r="F530" s="129"/>
      <c r="G530" s="8"/>
      <c r="L530" s="157"/>
    </row>
    <row r="531">
      <c r="B531" s="8"/>
      <c r="C531" s="8"/>
      <c r="D531" s="8"/>
      <c r="E531" s="8"/>
      <c r="F531" s="129"/>
      <c r="G531" s="8"/>
      <c r="L531" s="157"/>
    </row>
    <row r="532">
      <c r="B532" s="8"/>
      <c r="C532" s="8"/>
      <c r="D532" s="8"/>
      <c r="E532" s="8"/>
      <c r="F532" s="129"/>
      <c r="G532" s="8"/>
      <c r="L532" s="157"/>
    </row>
    <row r="533">
      <c r="B533" s="8"/>
      <c r="C533" s="8"/>
      <c r="D533" s="8"/>
      <c r="E533" s="8"/>
      <c r="F533" s="129"/>
      <c r="G533" s="8"/>
      <c r="L533" s="157"/>
    </row>
    <row r="534">
      <c r="B534" s="8"/>
      <c r="C534" s="8"/>
      <c r="D534" s="8"/>
      <c r="E534" s="8"/>
      <c r="F534" s="129"/>
      <c r="G534" s="8"/>
      <c r="L534" s="157"/>
    </row>
    <row r="535">
      <c r="B535" s="8"/>
      <c r="C535" s="8"/>
      <c r="D535" s="8"/>
      <c r="E535" s="8"/>
      <c r="F535" s="129"/>
      <c r="G535" s="8"/>
      <c r="L535" s="157"/>
    </row>
    <row r="536">
      <c r="B536" s="8"/>
      <c r="C536" s="8"/>
      <c r="D536" s="8"/>
      <c r="E536" s="8"/>
      <c r="F536" s="129"/>
      <c r="G536" s="8"/>
      <c r="L536" s="157"/>
    </row>
    <row r="537">
      <c r="B537" s="8"/>
      <c r="C537" s="8"/>
      <c r="D537" s="8"/>
      <c r="E537" s="8"/>
      <c r="F537" s="129"/>
      <c r="G537" s="8"/>
      <c r="L537" s="157"/>
    </row>
    <row r="538">
      <c r="B538" s="8"/>
      <c r="C538" s="8"/>
      <c r="D538" s="8"/>
      <c r="E538" s="8"/>
      <c r="F538" s="129"/>
      <c r="G538" s="8"/>
      <c r="L538" s="157"/>
    </row>
    <row r="539">
      <c r="B539" s="8"/>
      <c r="C539" s="8"/>
      <c r="D539" s="8"/>
      <c r="E539" s="8"/>
      <c r="F539" s="129"/>
      <c r="G539" s="8"/>
      <c r="L539" s="157"/>
    </row>
    <row r="540">
      <c r="B540" s="8"/>
      <c r="C540" s="8"/>
      <c r="D540" s="8"/>
      <c r="E540" s="8"/>
      <c r="F540" s="129"/>
      <c r="G540" s="8"/>
      <c r="L540" s="157"/>
    </row>
    <row r="541">
      <c r="B541" s="8"/>
      <c r="C541" s="8"/>
      <c r="D541" s="8"/>
      <c r="E541" s="8"/>
      <c r="F541" s="129"/>
      <c r="G541" s="8"/>
      <c r="L541" s="157"/>
    </row>
    <row r="542">
      <c r="B542" s="8"/>
      <c r="C542" s="8"/>
      <c r="D542" s="8"/>
      <c r="E542" s="8"/>
      <c r="F542" s="129"/>
      <c r="G542" s="8"/>
      <c r="L542" s="157"/>
    </row>
    <row r="543">
      <c r="B543" s="8"/>
      <c r="C543" s="8"/>
      <c r="D543" s="8"/>
      <c r="E543" s="8"/>
      <c r="F543" s="129"/>
      <c r="G543" s="8"/>
      <c r="L543" s="157"/>
    </row>
    <row r="544">
      <c r="B544" s="8"/>
      <c r="C544" s="8"/>
      <c r="D544" s="8"/>
      <c r="E544" s="8"/>
      <c r="F544" s="129"/>
      <c r="G544" s="8"/>
      <c r="L544" s="157"/>
    </row>
    <row r="545">
      <c r="B545" s="8"/>
      <c r="C545" s="8"/>
      <c r="D545" s="8"/>
      <c r="E545" s="8"/>
      <c r="F545" s="129"/>
      <c r="G545" s="8"/>
      <c r="L545" s="157"/>
    </row>
    <row r="546">
      <c r="B546" s="8"/>
      <c r="C546" s="8"/>
      <c r="D546" s="8"/>
      <c r="E546" s="8"/>
      <c r="F546" s="129"/>
      <c r="G546" s="8"/>
      <c r="L546" s="157"/>
    </row>
    <row r="547">
      <c r="B547" s="8"/>
      <c r="C547" s="8"/>
      <c r="D547" s="8"/>
      <c r="E547" s="8"/>
      <c r="F547" s="129"/>
      <c r="G547" s="8"/>
      <c r="L547" s="157"/>
    </row>
    <row r="548">
      <c r="B548" s="8"/>
      <c r="C548" s="8"/>
      <c r="D548" s="8"/>
      <c r="E548" s="8"/>
      <c r="F548" s="129"/>
      <c r="G548" s="8"/>
      <c r="L548" s="157"/>
    </row>
    <row r="549">
      <c r="B549" s="8"/>
      <c r="C549" s="8"/>
      <c r="D549" s="8"/>
      <c r="E549" s="8"/>
      <c r="F549" s="129"/>
      <c r="G549" s="8"/>
      <c r="L549" s="157"/>
    </row>
    <row r="550">
      <c r="B550" s="8"/>
      <c r="C550" s="8"/>
      <c r="D550" s="8"/>
      <c r="E550" s="8"/>
      <c r="F550" s="129"/>
      <c r="G550" s="8"/>
      <c r="L550" s="157"/>
    </row>
    <row r="551">
      <c r="B551" s="8"/>
      <c r="C551" s="8"/>
      <c r="D551" s="8"/>
      <c r="E551" s="8"/>
      <c r="F551" s="129"/>
      <c r="G551" s="8"/>
      <c r="L551" s="157"/>
    </row>
    <row r="552">
      <c r="B552" s="8"/>
      <c r="C552" s="8"/>
      <c r="D552" s="8"/>
      <c r="E552" s="8"/>
      <c r="F552" s="129"/>
      <c r="G552" s="8"/>
      <c r="L552" s="157"/>
    </row>
    <row r="553">
      <c r="B553" s="8"/>
      <c r="C553" s="8"/>
      <c r="D553" s="8"/>
      <c r="E553" s="8"/>
      <c r="F553" s="129"/>
      <c r="G553" s="8"/>
      <c r="L553" s="157"/>
    </row>
    <row r="554">
      <c r="B554" s="8"/>
      <c r="C554" s="8"/>
      <c r="D554" s="8"/>
      <c r="E554" s="8"/>
      <c r="F554" s="129"/>
      <c r="G554" s="8"/>
      <c r="L554" s="157"/>
    </row>
    <row r="555">
      <c r="B555" s="8"/>
      <c r="C555" s="8"/>
      <c r="D555" s="8"/>
      <c r="E555" s="8"/>
      <c r="F555" s="129"/>
      <c r="G555" s="8"/>
      <c r="L555" s="157"/>
    </row>
    <row r="556">
      <c r="B556" s="8"/>
      <c r="C556" s="8"/>
      <c r="D556" s="8"/>
      <c r="E556" s="8"/>
      <c r="F556" s="129"/>
      <c r="G556" s="8"/>
      <c r="L556" s="157"/>
    </row>
    <row r="557">
      <c r="B557" s="8"/>
      <c r="C557" s="8"/>
      <c r="D557" s="8"/>
      <c r="E557" s="8"/>
      <c r="F557" s="129"/>
      <c r="G557" s="8"/>
      <c r="L557" s="157"/>
    </row>
    <row r="558">
      <c r="B558" s="8"/>
      <c r="C558" s="8"/>
      <c r="D558" s="8"/>
      <c r="E558" s="8"/>
      <c r="F558" s="129"/>
      <c r="G558" s="8"/>
      <c r="L558" s="157"/>
    </row>
    <row r="559">
      <c r="B559" s="8"/>
      <c r="C559" s="8"/>
      <c r="D559" s="8"/>
      <c r="E559" s="8"/>
      <c r="F559" s="129"/>
      <c r="G559" s="8"/>
      <c r="L559" s="157"/>
    </row>
    <row r="560">
      <c r="B560" s="8"/>
      <c r="C560" s="8"/>
      <c r="D560" s="8"/>
      <c r="E560" s="8"/>
      <c r="F560" s="129"/>
      <c r="G560" s="8"/>
      <c r="L560" s="157"/>
    </row>
    <row r="561">
      <c r="B561" s="8"/>
      <c r="C561" s="8"/>
      <c r="D561" s="8"/>
      <c r="E561" s="8"/>
      <c r="F561" s="129"/>
      <c r="G561" s="8"/>
      <c r="L561" s="157"/>
    </row>
    <row r="562">
      <c r="B562" s="8"/>
      <c r="C562" s="8"/>
      <c r="D562" s="8"/>
      <c r="E562" s="8"/>
      <c r="F562" s="129"/>
      <c r="G562" s="8"/>
      <c r="L562" s="157"/>
    </row>
    <row r="563">
      <c r="B563" s="8"/>
      <c r="C563" s="8"/>
      <c r="D563" s="8"/>
      <c r="E563" s="8"/>
      <c r="F563" s="129"/>
      <c r="G563" s="8"/>
      <c r="L563" s="157"/>
    </row>
    <row r="564">
      <c r="B564" s="8"/>
      <c r="C564" s="8"/>
      <c r="D564" s="8"/>
      <c r="E564" s="8"/>
      <c r="F564" s="129"/>
      <c r="G564" s="8"/>
      <c r="L564" s="157"/>
    </row>
    <row r="565">
      <c r="B565" s="8"/>
      <c r="C565" s="8"/>
      <c r="D565" s="8"/>
      <c r="E565" s="8"/>
      <c r="F565" s="129"/>
      <c r="G565" s="8"/>
      <c r="L565" s="157"/>
    </row>
    <row r="566">
      <c r="B566" s="8"/>
      <c r="C566" s="8"/>
      <c r="D566" s="8"/>
      <c r="E566" s="8"/>
      <c r="F566" s="129"/>
      <c r="G566" s="8"/>
      <c r="L566" s="157"/>
    </row>
    <row r="567">
      <c r="B567" s="8"/>
      <c r="C567" s="8"/>
      <c r="D567" s="8"/>
      <c r="E567" s="8"/>
      <c r="F567" s="129"/>
      <c r="G567" s="8"/>
      <c r="L567" s="157"/>
    </row>
    <row r="568">
      <c r="B568" s="8"/>
      <c r="C568" s="8"/>
      <c r="D568" s="8"/>
      <c r="E568" s="8"/>
      <c r="F568" s="129"/>
      <c r="G568" s="8"/>
      <c r="L568" s="157"/>
    </row>
    <row r="569">
      <c r="B569" s="8"/>
      <c r="C569" s="8"/>
      <c r="D569" s="8"/>
      <c r="E569" s="8"/>
      <c r="F569" s="129"/>
      <c r="G569" s="8"/>
      <c r="L569" s="157"/>
    </row>
    <row r="570">
      <c r="B570" s="8"/>
      <c r="C570" s="8"/>
      <c r="D570" s="8"/>
      <c r="E570" s="8"/>
      <c r="F570" s="129"/>
      <c r="G570" s="8"/>
      <c r="L570" s="157"/>
    </row>
    <row r="571">
      <c r="B571" s="8"/>
      <c r="C571" s="8"/>
      <c r="D571" s="8"/>
      <c r="E571" s="8"/>
      <c r="F571" s="129"/>
      <c r="G571" s="8"/>
      <c r="L571" s="157"/>
    </row>
    <row r="572">
      <c r="B572" s="8"/>
      <c r="C572" s="8"/>
      <c r="D572" s="8"/>
      <c r="E572" s="8"/>
      <c r="F572" s="129"/>
      <c r="G572" s="8"/>
      <c r="L572" s="157"/>
    </row>
    <row r="573">
      <c r="B573" s="8"/>
      <c r="C573" s="8"/>
      <c r="D573" s="8"/>
      <c r="E573" s="8"/>
      <c r="F573" s="129"/>
      <c r="G573" s="8"/>
      <c r="L573" s="157"/>
    </row>
    <row r="574">
      <c r="B574" s="8"/>
      <c r="C574" s="8"/>
      <c r="D574" s="8"/>
      <c r="E574" s="8"/>
      <c r="F574" s="129"/>
      <c r="G574" s="8"/>
      <c r="L574" s="157"/>
    </row>
    <row r="575">
      <c r="B575" s="8"/>
      <c r="C575" s="8"/>
      <c r="D575" s="8"/>
      <c r="E575" s="8"/>
      <c r="F575" s="129"/>
      <c r="G575" s="8"/>
      <c r="L575" s="157"/>
    </row>
    <row r="576">
      <c r="B576" s="8"/>
      <c r="C576" s="8"/>
      <c r="D576" s="8"/>
      <c r="E576" s="8"/>
      <c r="F576" s="129"/>
      <c r="G576" s="8"/>
      <c r="L576" s="157"/>
    </row>
    <row r="577">
      <c r="B577" s="8"/>
      <c r="C577" s="8"/>
      <c r="D577" s="8"/>
      <c r="E577" s="8"/>
      <c r="F577" s="129"/>
      <c r="G577" s="8"/>
      <c r="L577" s="157"/>
    </row>
    <row r="578">
      <c r="B578" s="8"/>
      <c r="C578" s="8"/>
      <c r="D578" s="8"/>
      <c r="E578" s="8"/>
      <c r="F578" s="129"/>
      <c r="G578" s="8"/>
      <c r="L578" s="157"/>
    </row>
    <row r="579">
      <c r="B579" s="8"/>
      <c r="C579" s="8"/>
      <c r="D579" s="8"/>
      <c r="E579" s="8"/>
      <c r="F579" s="129"/>
      <c r="G579" s="8"/>
      <c r="L579" s="157"/>
    </row>
    <row r="580">
      <c r="B580" s="8"/>
      <c r="C580" s="8"/>
      <c r="D580" s="8"/>
      <c r="E580" s="8"/>
      <c r="F580" s="129"/>
      <c r="G580" s="8"/>
      <c r="L580" s="157"/>
    </row>
    <row r="581">
      <c r="B581" s="8"/>
      <c r="C581" s="8"/>
      <c r="D581" s="8"/>
      <c r="E581" s="8"/>
      <c r="F581" s="129"/>
      <c r="G581" s="8"/>
      <c r="L581" s="157"/>
    </row>
    <row r="582">
      <c r="B582" s="8"/>
      <c r="C582" s="8"/>
      <c r="D582" s="8"/>
      <c r="E582" s="8"/>
      <c r="F582" s="129"/>
      <c r="G582" s="8"/>
      <c r="L582" s="157"/>
    </row>
    <row r="583">
      <c r="B583" s="8"/>
      <c r="C583" s="8"/>
      <c r="D583" s="8"/>
      <c r="E583" s="8"/>
      <c r="F583" s="129"/>
      <c r="G583" s="8"/>
      <c r="L583" s="157"/>
    </row>
    <row r="584">
      <c r="B584" s="8"/>
      <c r="C584" s="8"/>
      <c r="D584" s="8"/>
      <c r="E584" s="8"/>
      <c r="F584" s="129"/>
      <c r="G584" s="8"/>
      <c r="L584" s="157"/>
    </row>
    <row r="585">
      <c r="B585" s="8"/>
      <c r="C585" s="8"/>
      <c r="D585" s="8"/>
      <c r="E585" s="8"/>
      <c r="F585" s="129"/>
      <c r="G585" s="8"/>
      <c r="L585" s="157"/>
    </row>
    <row r="586">
      <c r="B586" s="8"/>
      <c r="C586" s="8"/>
      <c r="D586" s="8"/>
      <c r="E586" s="8"/>
      <c r="F586" s="129"/>
      <c r="G586" s="8"/>
      <c r="L586" s="157"/>
    </row>
    <row r="587">
      <c r="B587" s="8"/>
      <c r="C587" s="8"/>
      <c r="D587" s="8"/>
      <c r="E587" s="8"/>
      <c r="F587" s="129"/>
      <c r="G587" s="8"/>
      <c r="L587" s="157"/>
    </row>
    <row r="588">
      <c r="B588" s="8"/>
      <c r="C588" s="8"/>
      <c r="D588" s="8"/>
      <c r="E588" s="8"/>
      <c r="F588" s="129"/>
      <c r="G588" s="8"/>
      <c r="L588" s="157"/>
    </row>
    <row r="589">
      <c r="B589" s="8"/>
      <c r="C589" s="8"/>
      <c r="D589" s="8"/>
      <c r="E589" s="8"/>
      <c r="F589" s="129"/>
      <c r="G589" s="8"/>
      <c r="L589" s="157"/>
    </row>
    <row r="590">
      <c r="B590" s="8"/>
      <c r="C590" s="8"/>
      <c r="D590" s="8"/>
      <c r="E590" s="8"/>
      <c r="F590" s="129"/>
      <c r="G590" s="8"/>
      <c r="L590" s="157"/>
    </row>
    <row r="591">
      <c r="B591" s="8"/>
      <c r="C591" s="8"/>
      <c r="D591" s="8"/>
      <c r="E591" s="8"/>
      <c r="F591" s="129"/>
      <c r="G591" s="8"/>
      <c r="L591" s="157"/>
    </row>
    <row r="592">
      <c r="B592" s="8"/>
      <c r="C592" s="8"/>
      <c r="D592" s="8"/>
      <c r="E592" s="8"/>
      <c r="F592" s="129"/>
      <c r="G592" s="8"/>
      <c r="L592" s="157"/>
    </row>
    <row r="593">
      <c r="B593" s="8"/>
      <c r="C593" s="8"/>
      <c r="D593" s="8"/>
      <c r="E593" s="8"/>
      <c r="F593" s="129"/>
      <c r="G593" s="8"/>
      <c r="L593" s="157"/>
    </row>
    <row r="594">
      <c r="B594" s="8"/>
      <c r="C594" s="8"/>
      <c r="D594" s="8"/>
      <c r="E594" s="8"/>
      <c r="F594" s="129"/>
      <c r="G594" s="8"/>
      <c r="L594" s="157"/>
    </row>
    <row r="595">
      <c r="B595" s="8"/>
      <c r="C595" s="8"/>
      <c r="D595" s="8"/>
      <c r="E595" s="8"/>
      <c r="F595" s="129"/>
      <c r="G595" s="8"/>
      <c r="L595" s="157"/>
    </row>
    <row r="596">
      <c r="B596" s="8"/>
      <c r="C596" s="8"/>
      <c r="D596" s="8"/>
      <c r="E596" s="8"/>
      <c r="F596" s="129"/>
      <c r="G596" s="8"/>
      <c r="L596" s="157"/>
    </row>
    <row r="597">
      <c r="B597" s="8"/>
      <c r="C597" s="8"/>
      <c r="D597" s="8"/>
      <c r="E597" s="8"/>
      <c r="F597" s="129"/>
      <c r="G597" s="8"/>
      <c r="L597" s="157"/>
    </row>
    <row r="598">
      <c r="B598" s="8"/>
      <c r="C598" s="8"/>
      <c r="D598" s="8"/>
      <c r="E598" s="8"/>
      <c r="F598" s="129"/>
      <c r="G598" s="8"/>
      <c r="L598" s="157"/>
    </row>
    <row r="599">
      <c r="B599" s="8"/>
      <c r="C599" s="8"/>
      <c r="D599" s="8"/>
      <c r="E599" s="8"/>
      <c r="F599" s="129"/>
      <c r="G599" s="8"/>
      <c r="L599" s="157"/>
    </row>
    <row r="600">
      <c r="B600" s="8"/>
      <c r="C600" s="8"/>
      <c r="D600" s="8"/>
      <c r="E600" s="8"/>
      <c r="F600" s="129"/>
      <c r="G600" s="8"/>
      <c r="L600" s="157"/>
    </row>
    <row r="601">
      <c r="B601" s="8"/>
      <c r="C601" s="8"/>
      <c r="D601" s="8"/>
      <c r="E601" s="8"/>
      <c r="F601" s="129"/>
      <c r="G601" s="8"/>
      <c r="L601" s="157"/>
    </row>
    <row r="602">
      <c r="B602" s="8"/>
      <c r="C602" s="8"/>
      <c r="D602" s="8"/>
      <c r="E602" s="8"/>
      <c r="F602" s="129"/>
      <c r="G602" s="8"/>
      <c r="L602" s="157"/>
    </row>
    <row r="603">
      <c r="B603" s="8"/>
      <c r="C603" s="8"/>
      <c r="D603" s="8"/>
      <c r="E603" s="8"/>
      <c r="F603" s="129"/>
      <c r="G603" s="8"/>
      <c r="L603" s="157"/>
    </row>
    <row r="604">
      <c r="B604" s="8"/>
      <c r="C604" s="8"/>
      <c r="D604" s="8"/>
      <c r="E604" s="8"/>
      <c r="F604" s="129"/>
      <c r="G604" s="8"/>
      <c r="L604" s="157"/>
    </row>
    <row r="605">
      <c r="B605" s="8"/>
      <c r="C605" s="8"/>
      <c r="D605" s="8"/>
      <c r="E605" s="8"/>
      <c r="F605" s="129"/>
      <c r="G605" s="8"/>
      <c r="L605" s="157"/>
    </row>
    <row r="606">
      <c r="B606" s="8"/>
      <c r="C606" s="8"/>
      <c r="D606" s="8"/>
      <c r="E606" s="8"/>
      <c r="F606" s="129"/>
      <c r="G606" s="8"/>
      <c r="L606" s="157"/>
    </row>
    <row r="607">
      <c r="B607" s="8"/>
      <c r="C607" s="8"/>
      <c r="D607" s="8"/>
      <c r="E607" s="8"/>
      <c r="F607" s="129"/>
      <c r="G607" s="8"/>
      <c r="L607" s="157"/>
    </row>
    <row r="608">
      <c r="B608" s="8"/>
      <c r="C608" s="8"/>
      <c r="D608" s="8"/>
      <c r="E608" s="8"/>
      <c r="F608" s="129"/>
      <c r="G608" s="8"/>
      <c r="L608" s="157"/>
    </row>
    <row r="609">
      <c r="B609" s="8"/>
      <c r="C609" s="8"/>
      <c r="D609" s="8"/>
      <c r="E609" s="8"/>
      <c r="F609" s="129"/>
      <c r="G609" s="8"/>
      <c r="L609" s="157"/>
    </row>
    <row r="610">
      <c r="B610" s="8"/>
      <c r="C610" s="8"/>
      <c r="D610" s="8"/>
      <c r="E610" s="8"/>
      <c r="F610" s="129"/>
      <c r="G610" s="8"/>
      <c r="L610" s="157"/>
    </row>
    <row r="611">
      <c r="B611" s="8"/>
      <c r="C611" s="8"/>
      <c r="D611" s="8"/>
      <c r="E611" s="8"/>
      <c r="F611" s="129"/>
      <c r="G611" s="8"/>
      <c r="L611" s="157"/>
    </row>
    <row r="612">
      <c r="B612" s="8"/>
      <c r="C612" s="8"/>
      <c r="D612" s="8"/>
      <c r="E612" s="8"/>
      <c r="F612" s="129"/>
      <c r="G612" s="8"/>
      <c r="L612" s="157"/>
    </row>
    <row r="613">
      <c r="B613" s="8"/>
      <c r="C613" s="8"/>
      <c r="D613" s="8"/>
      <c r="E613" s="8"/>
      <c r="F613" s="129"/>
      <c r="G613" s="8"/>
      <c r="L613" s="157"/>
    </row>
    <row r="614">
      <c r="B614" s="8"/>
      <c r="C614" s="8"/>
      <c r="D614" s="8"/>
      <c r="E614" s="8"/>
      <c r="F614" s="129"/>
      <c r="G614" s="8"/>
      <c r="L614" s="157"/>
    </row>
    <row r="615">
      <c r="B615" s="8"/>
      <c r="C615" s="8"/>
      <c r="D615" s="8"/>
      <c r="E615" s="8"/>
      <c r="F615" s="129"/>
      <c r="G615" s="8"/>
      <c r="L615" s="157"/>
    </row>
    <row r="616">
      <c r="B616" s="8"/>
      <c r="C616" s="8"/>
      <c r="D616" s="8"/>
      <c r="E616" s="8"/>
      <c r="F616" s="129"/>
      <c r="G616" s="8"/>
      <c r="L616" s="157"/>
    </row>
    <row r="617">
      <c r="B617" s="8"/>
      <c r="C617" s="8"/>
      <c r="D617" s="8"/>
      <c r="E617" s="8"/>
      <c r="F617" s="129"/>
      <c r="G617" s="8"/>
      <c r="L617" s="157"/>
    </row>
    <row r="618">
      <c r="B618" s="8"/>
      <c r="C618" s="8"/>
      <c r="D618" s="8"/>
      <c r="E618" s="8"/>
      <c r="F618" s="129"/>
      <c r="G618" s="8"/>
      <c r="L618" s="157"/>
    </row>
    <row r="619">
      <c r="B619" s="8"/>
      <c r="C619" s="8"/>
      <c r="D619" s="8"/>
      <c r="E619" s="8"/>
      <c r="F619" s="129"/>
      <c r="G619" s="8"/>
      <c r="L619" s="157"/>
    </row>
    <row r="620">
      <c r="B620" s="8"/>
      <c r="C620" s="8"/>
      <c r="D620" s="8"/>
      <c r="E620" s="8"/>
      <c r="F620" s="129"/>
      <c r="G620" s="8"/>
      <c r="L620" s="157"/>
    </row>
    <row r="621">
      <c r="B621" s="8"/>
      <c r="C621" s="8"/>
      <c r="D621" s="8"/>
      <c r="E621" s="8"/>
      <c r="F621" s="129"/>
      <c r="G621" s="8"/>
      <c r="L621" s="157"/>
    </row>
    <row r="622">
      <c r="B622" s="8"/>
      <c r="C622" s="8"/>
      <c r="D622" s="8"/>
      <c r="E622" s="8"/>
      <c r="F622" s="129"/>
      <c r="G622" s="8"/>
      <c r="L622" s="157"/>
    </row>
    <row r="623">
      <c r="B623" s="8"/>
      <c r="C623" s="8"/>
      <c r="D623" s="8"/>
      <c r="E623" s="8"/>
      <c r="F623" s="129"/>
      <c r="G623" s="8"/>
      <c r="L623" s="157"/>
    </row>
    <row r="624">
      <c r="B624" s="8"/>
      <c r="C624" s="8"/>
      <c r="D624" s="8"/>
      <c r="E624" s="8"/>
      <c r="F624" s="129"/>
      <c r="G624" s="8"/>
      <c r="L624" s="157"/>
    </row>
    <row r="625">
      <c r="B625" s="8"/>
      <c r="C625" s="8"/>
      <c r="D625" s="8"/>
      <c r="E625" s="8"/>
      <c r="F625" s="129"/>
      <c r="G625" s="8"/>
      <c r="L625" s="157"/>
    </row>
    <row r="626">
      <c r="B626" s="8"/>
      <c r="C626" s="8"/>
      <c r="D626" s="8"/>
      <c r="E626" s="8"/>
      <c r="F626" s="129"/>
      <c r="G626" s="8"/>
      <c r="L626" s="157"/>
    </row>
    <row r="627">
      <c r="B627" s="8"/>
      <c r="C627" s="8"/>
      <c r="D627" s="8"/>
      <c r="E627" s="8"/>
      <c r="F627" s="129"/>
      <c r="G627" s="8"/>
      <c r="L627" s="157"/>
    </row>
    <row r="628">
      <c r="B628" s="8"/>
      <c r="C628" s="8"/>
      <c r="D628" s="8"/>
      <c r="E628" s="8"/>
      <c r="F628" s="129"/>
      <c r="G628" s="8"/>
      <c r="L628" s="157"/>
    </row>
    <row r="629">
      <c r="B629" s="8"/>
      <c r="C629" s="8"/>
      <c r="D629" s="8"/>
      <c r="E629" s="8"/>
      <c r="F629" s="129"/>
      <c r="G629" s="8"/>
      <c r="L629" s="157"/>
    </row>
    <row r="630">
      <c r="B630" s="8"/>
      <c r="C630" s="8"/>
      <c r="D630" s="8"/>
      <c r="E630" s="8"/>
      <c r="F630" s="129"/>
      <c r="G630" s="8"/>
      <c r="L630" s="157"/>
    </row>
    <row r="631">
      <c r="B631" s="8"/>
      <c r="C631" s="8"/>
      <c r="D631" s="8"/>
      <c r="E631" s="8"/>
      <c r="F631" s="129"/>
      <c r="G631" s="8"/>
      <c r="L631" s="157"/>
    </row>
    <row r="632">
      <c r="B632" s="8"/>
      <c r="C632" s="8"/>
      <c r="D632" s="8"/>
      <c r="E632" s="8"/>
      <c r="F632" s="129"/>
      <c r="G632" s="8"/>
      <c r="L632" s="157"/>
    </row>
    <row r="633">
      <c r="B633" s="8"/>
      <c r="C633" s="8"/>
      <c r="D633" s="8"/>
      <c r="E633" s="8"/>
      <c r="F633" s="129"/>
      <c r="G633" s="8"/>
      <c r="L633" s="157"/>
    </row>
    <row r="634">
      <c r="B634" s="8"/>
      <c r="C634" s="8"/>
      <c r="D634" s="8"/>
      <c r="E634" s="8"/>
      <c r="F634" s="129"/>
      <c r="G634" s="8"/>
      <c r="L634" s="157"/>
    </row>
    <row r="635">
      <c r="B635" s="8"/>
      <c r="C635" s="8"/>
      <c r="D635" s="8"/>
      <c r="E635" s="8"/>
      <c r="F635" s="129"/>
      <c r="G635" s="8"/>
      <c r="L635" s="157"/>
    </row>
    <row r="636">
      <c r="B636" s="8"/>
      <c r="C636" s="8"/>
      <c r="D636" s="8"/>
      <c r="E636" s="8"/>
      <c r="F636" s="129"/>
      <c r="G636" s="8"/>
      <c r="L636" s="157"/>
    </row>
    <row r="637">
      <c r="B637" s="8"/>
      <c r="C637" s="8"/>
      <c r="D637" s="8"/>
      <c r="E637" s="8"/>
      <c r="F637" s="129"/>
      <c r="G637" s="8"/>
      <c r="L637" s="157"/>
    </row>
    <row r="638">
      <c r="B638" s="8"/>
      <c r="C638" s="8"/>
      <c r="D638" s="8"/>
      <c r="E638" s="8"/>
      <c r="F638" s="129"/>
      <c r="G638" s="8"/>
      <c r="L638" s="157"/>
    </row>
    <row r="639">
      <c r="B639" s="8"/>
      <c r="C639" s="8"/>
      <c r="D639" s="8"/>
      <c r="E639" s="8"/>
      <c r="F639" s="129"/>
      <c r="G639" s="8"/>
      <c r="L639" s="157"/>
    </row>
    <row r="640">
      <c r="B640" s="8"/>
      <c r="C640" s="8"/>
      <c r="D640" s="8"/>
      <c r="E640" s="8"/>
      <c r="F640" s="129"/>
      <c r="G640" s="8"/>
      <c r="L640" s="157"/>
    </row>
    <row r="641">
      <c r="B641" s="8"/>
      <c r="C641" s="8"/>
      <c r="D641" s="8"/>
      <c r="E641" s="8"/>
      <c r="F641" s="129"/>
      <c r="G641" s="8"/>
      <c r="L641" s="157"/>
    </row>
    <row r="642">
      <c r="B642" s="8"/>
      <c r="C642" s="8"/>
      <c r="D642" s="8"/>
      <c r="E642" s="8"/>
      <c r="F642" s="129"/>
      <c r="G642" s="8"/>
      <c r="L642" s="157"/>
    </row>
    <row r="643">
      <c r="B643" s="8"/>
      <c r="C643" s="8"/>
      <c r="D643" s="8"/>
      <c r="E643" s="8"/>
      <c r="F643" s="129"/>
      <c r="G643" s="8"/>
      <c r="L643" s="157"/>
    </row>
    <row r="644">
      <c r="B644" s="8"/>
      <c r="C644" s="8"/>
      <c r="D644" s="8"/>
      <c r="E644" s="8"/>
      <c r="F644" s="129"/>
      <c r="G644" s="8"/>
      <c r="L644" s="157"/>
    </row>
    <row r="645">
      <c r="B645" s="8"/>
      <c r="C645" s="8"/>
      <c r="D645" s="8"/>
      <c r="E645" s="8"/>
      <c r="F645" s="129"/>
      <c r="G645" s="8"/>
      <c r="L645" s="157"/>
    </row>
    <row r="646">
      <c r="B646" s="8"/>
      <c r="C646" s="8"/>
      <c r="D646" s="8"/>
      <c r="E646" s="8"/>
      <c r="F646" s="129"/>
      <c r="G646" s="8"/>
      <c r="L646" s="157"/>
    </row>
    <row r="647">
      <c r="B647" s="8"/>
      <c r="C647" s="8"/>
      <c r="D647" s="8"/>
      <c r="E647" s="8"/>
      <c r="F647" s="129"/>
      <c r="G647" s="8"/>
      <c r="L647" s="157"/>
    </row>
    <row r="648">
      <c r="B648" s="8"/>
      <c r="C648" s="8"/>
      <c r="D648" s="8"/>
      <c r="E648" s="8"/>
      <c r="F648" s="129"/>
      <c r="G648" s="8"/>
      <c r="L648" s="157"/>
    </row>
    <row r="649">
      <c r="B649" s="8"/>
      <c r="C649" s="8"/>
      <c r="D649" s="8"/>
      <c r="E649" s="8"/>
      <c r="F649" s="129"/>
      <c r="G649" s="8"/>
      <c r="L649" s="157"/>
    </row>
    <row r="650">
      <c r="B650" s="8"/>
      <c r="C650" s="8"/>
      <c r="D650" s="8"/>
      <c r="E650" s="8"/>
      <c r="F650" s="129"/>
      <c r="G650" s="8"/>
      <c r="L650" s="157"/>
    </row>
    <row r="651">
      <c r="B651" s="8"/>
      <c r="C651" s="8"/>
      <c r="D651" s="8"/>
      <c r="E651" s="8"/>
      <c r="F651" s="129"/>
      <c r="G651" s="8"/>
      <c r="L651" s="157"/>
    </row>
    <row r="652">
      <c r="B652" s="8"/>
      <c r="C652" s="8"/>
      <c r="D652" s="8"/>
      <c r="E652" s="8"/>
      <c r="F652" s="129"/>
      <c r="G652" s="8"/>
      <c r="L652" s="157"/>
    </row>
    <row r="653">
      <c r="B653" s="8"/>
      <c r="C653" s="8"/>
      <c r="D653" s="8"/>
      <c r="E653" s="8"/>
      <c r="F653" s="129"/>
      <c r="G653" s="8"/>
      <c r="L653" s="157"/>
    </row>
    <row r="654">
      <c r="B654" s="8"/>
      <c r="C654" s="8"/>
      <c r="D654" s="8"/>
      <c r="E654" s="8"/>
      <c r="F654" s="129"/>
      <c r="G654" s="8"/>
      <c r="L654" s="157"/>
    </row>
    <row r="655">
      <c r="B655" s="8"/>
      <c r="C655" s="8"/>
      <c r="D655" s="8"/>
      <c r="E655" s="8"/>
      <c r="F655" s="129"/>
      <c r="G655" s="8"/>
      <c r="L655" s="157"/>
    </row>
    <row r="656">
      <c r="B656" s="8"/>
      <c r="C656" s="8"/>
      <c r="D656" s="8"/>
      <c r="E656" s="8"/>
      <c r="F656" s="129"/>
      <c r="G656" s="8"/>
      <c r="L656" s="157"/>
    </row>
    <row r="657">
      <c r="B657" s="8"/>
      <c r="C657" s="8"/>
      <c r="D657" s="8"/>
      <c r="E657" s="8"/>
      <c r="F657" s="129"/>
      <c r="G657" s="8"/>
      <c r="L657" s="157"/>
    </row>
    <row r="658">
      <c r="B658" s="8"/>
      <c r="C658" s="8"/>
      <c r="D658" s="8"/>
      <c r="E658" s="8"/>
      <c r="F658" s="129"/>
      <c r="G658" s="8"/>
      <c r="L658" s="157"/>
    </row>
    <row r="659">
      <c r="B659" s="8"/>
      <c r="C659" s="8"/>
      <c r="D659" s="8"/>
      <c r="E659" s="8"/>
      <c r="F659" s="129"/>
      <c r="G659" s="8"/>
      <c r="L659" s="157"/>
    </row>
    <row r="660">
      <c r="B660" s="8"/>
      <c r="C660" s="8"/>
      <c r="D660" s="8"/>
      <c r="E660" s="8"/>
      <c r="F660" s="129"/>
      <c r="G660" s="8"/>
      <c r="L660" s="157"/>
    </row>
    <row r="661">
      <c r="B661" s="8"/>
      <c r="C661" s="8"/>
      <c r="D661" s="8"/>
      <c r="E661" s="8"/>
      <c r="F661" s="129"/>
      <c r="G661" s="8"/>
      <c r="L661" s="157"/>
    </row>
    <row r="662">
      <c r="B662" s="8"/>
      <c r="C662" s="8"/>
      <c r="D662" s="8"/>
      <c r="E662" s="8"/>
      <c r="F662" s="129"/>
      <c r="G662" s="8"/>
      <c r="L662" s="157"/>
    </row>
    <row r="663">
      <c r="B663" s="8"/>
      <c r="C663" s="8"/>
      <c r="D663" s="8"/>
      <c r="E663" s="8"/>
      <c r="F663" s="129"/>
      <c r="G663" s="8"/>
      <c r="L663" s="157"/>
    </row>
    <row r="664">
      <c r="B664" s="8"/>
      <c r="C664" s="8"/>
      <c r="D664" s="8"/>
      <c r="E664" s="8"/>
      <c r="F664" s="129"/>
      <c r="G664" s="8"/>
      <c r="L664" s="157"/>
    </row>
    <row r="665">
      <c r="B665" s="8"/>
      <c r="C665" s="8"/>
      <c r="D665" s="8"/>
      <c r="E665" s="8"/>
      <c r="F665" s="129"/>
      <c r="G665" s="8"/>
      <c r="L665" s="157"/>
    </row>
    <row r="666">
      <c r="B666" s="8"/>
      <c r="C666" s="8"/>
      <c r="D666" s="8"/>
      <c r="E666" s="8"/>
      <c r="F666" s="129"/>
      <c r="G666" s="8"/>
      <c r="L666" s="157"/>
    </row>
    <row r="667">
      <c r="B667" s="8"/>
      <c r="C667" s="8"/>
      <c r="D667" s="8"/>
      <c r="E667" s="8"/>
      <c r="F667" s="129"/>
      <c r="G667" s="8"/>
      <c r="L667" s="157"/>
    </row>
    <row r="668">
      <c r="B668" s="8"/>
      <c r="C668" s="8"/>
      <c r="D668" s="8"/>
      <c r="E668" s="8"/>
      <c r="F668" s="129"/>
      <c r="G668" s="8"/>
      <c r="L668" s="157"/>
    </row>
    <row r="669">
      <c r="B669" s="8"/>
      <c r="C669" s="8"/>
      <c r="D669" s="8"/>
      <c r="E669" s="8"/>
      <c r="F669" s="129"/>
      <c r="G669" s="8"/>
      <c r="L669" s="157"/>
    </row>
    <row r="670">
      <c r="B670" s="8"/>
      <c r="C670" s="8"/>
      <c r="D670" s="8"/>
      <c r="E670" s="8"/>
      <c r="F670" s="129"/>
      <c r="G670" s="8"/>
      <c r="L670" s="157"/>
    </row>
    <row r="671">
      <c r="B671" s="8"/>
      <c r="C671" s="8"/>
      <c r="D671" s="8"/>
      <c r="E671" s="8"/>
      <c r="F671" s="129"/>
      <c r="G671" s="8"/>
      <c r="L671" s="157"/>
    </row>
    <row r="672">
      <c r="B672" s="8"/>
      <c r="C672" s="8"/>
      <c r="D672" s="8"/>
      <c r="E672" s="8"/>
      <c r="F672" s="129"/>
      <c r="G672" s="8"/>
      <c r="L672" s="157"/>
    </row>
    <row r="673">
      <c r="B673" s="8"/>
      <c r="C673" s="8"/>
      <c r="D673" s="8"/>
      <c r="E673" s="8"/>
      <c r="F673" s="129"/>
      <c r="G673" s="8"/>
      <c r="L673" s="157"/>
    </row>
    <row r="674">
      <c r="B674" s="8"/>
      <c r="C674" s="8"/>
      <c r="D674" s="8"/>
      <c r="E674" s="8"/>
      <c r="F674" s="129"/>
      <c r="G674" s="8"/>
      <c r="L674" s="157"/>
    </row>
    <row r="675">
      <c r="B675" s="8"/>
      <c r="C675" s="8"/>
      <c r="D675" s="8"/>
      <c r="E675" s="8"/>
      <c r="F675" s="129"/>
      <c r="G675" s="8"/>
      <c r="L675" s="157"/>
    </row>
    <row r="676">
      <c r="B676" s="8"/>
      <c r="C676" s="8"/>
      <c r="D676" s="8"/>
      <c r="E676" s="8"/>
      <c r="F676" s="129"/>
      <c r="G676" s="8"/>
      <c r="L676" s="157"/>
    </row>
    <row r="677">
      <c r="B677" s="8"/>
      <c r="C677" s="8"/>
      <c r="D677" s="8"/>
      <c r="E677" s="8"/>
      <c r="F677" s="129"/>
      <c r="G677" s="8"/>
      <c r="L677" s="157"/>
    </row>
    <row r="678">
      <c r="B678" s="8"/>
      <c r="C678" s="8"/>
      <c r="D678" s="8"/>
      <c r="E678" s="8"/>
      <c r="F678" s="129"/>
      <c r="G678" s="8"/>
      <c r="L678" s="157"/>
    </row>
    <row r="679">
      <c r="B679" s="8"/>
      <c r="C679" s="8"/>
      <c r="D679" s="8"/>
      <c r="E679" s="8"/>
      <c r="F679" s="129"/>
      <c r="G679" s="8"/>
      <c r="L679" s="157"/>
    </row>
    <row r="680">
      <c r="B680" s="8"/>
      <c r="C680" s="8"/>
      <c r="D680" s="8"/>
      <c r="E680" s="8"/>
      <c r="F680" s="129"/>
      <c r="G680" s="8"/>
      <c r="L680" s="157"/>
    </row>
    <row r="681">
      <c r="B681" s="8"/>
      <c r="C681" s="8"/>
      <c r="D681" s="8"/>
      <c r="E681" s="8"/>
      <c r="F681" s="129"/>
      <c r="G681" s="8"/>
      <c r="L681" s="157"/>
    </row>
    <row r="682">
      <c r="B682" s="8"/>
      <c r="C682" s="8"/>
      <c r="D682" s="8"/>
      <c r="E682" s="8"/>
      <c r="F682" s="129"/>
      <c r="G682" s="8"/>
      <c r="L682" s="157"/>
    </row>
    <row r="683">
      <c r="B683" s="8"/>
      <c r="C683" s="8"/>
      <c r="D683" s="8"/>
      <c r="E683" s="8"/>
      <c r="F683" s="129"/>
      <c r="G683" s="8"/>
      <c r="L683" s="157"/>
    </row>
    <row r="684">
      <c r="B684" s="8"/>
      <c r="C684" s="8"/>
      <c r="D684" s="8"/>
      <c r="E684" s="8"/>
      <c r="F684" s="129"/>
      <c r="G684" s="8"/>
      <c r="L684" s="157"/>
    </row>
    <row r="685">
      <c r="B685" s="8"/>
      <c r="C685" s="8"/>
      <c r="D685" s="8"/>
      <c r="E685" s="8"/>
      <c r="F685" s="129"/>
      <c r="G685" s="8"/>
      <c r="L685" s="157"/>
    </row>
    <row r="686">
      <c r="B686" s="8"/>
      <c r="C686" s="8"/>
      <c r="D686" s="8"/>
      <c r="E686" s="8"/>
      <c r="F686" s="129"/>
      <c r="G686" s="8"/>
      <c r="L686" s="157"/>
    </row>
    <row r="687">
      <c r="B687" s="8"/>
      <c r="C687" s="8"/>
      <c r="D687" s="8"/>
      <c r="E687" s="8"/>
      <c r="F687" s="129"/>
      <c r="G687" s="8"/>
      <c r="L687" s="157"/>
    </row>
    <row r="688">
      <c r="B688" s="8"/>
      <c r="C688" s="8"/>
      <c r="D688" s="8"/>
      <c r="E688" s="8"/>
      <c r="F688" s="129"/>
      <c r="G688" s="8"/>
      <c r="L688" s="157"/>
    </row>
    <row r="689">
      <c r="B689" s="8"/>
      <c r="C689" s="8"/>
      <c r="D689" s="8"/>
      <c r="E689" s="8"/>
      <c r="F689" s="129"/>
      <c r="G689" s="8"/>
      <c r="L689" s="157"/>
    </row>
    <row r="690">
      <c r="B690" s="8"/>
      <c r="C690" s="8"/>
      <c r="D690" s="8"/>
      <c r="E690" s="8"/>
      <c r="F690" s="129"/>
      <c r="G690" s="8"/>
      <c r="L690" s="157"/>
    </row>
    <row r="691">
      <c r="B691" s="8"/>
      <c r="C691" s="8"/>
      <c r="D691" s="8"/>
      <c r="E691" s="8"/>
      <c r="F691" s="129"/>
      <c r="G691" s="8"/>
      <c r="L691" s="157"/>
    </row>
    <row r="692">
      <c r="B692" s="8"/>
      <c r="C692" s="8"/>
      <c r="D692" s="8"/>
      <c r="E692" s="8"/>
      <c r="F692" s="129"/>
      <c r="G692" s="8"/>
      <c r="L692" s="157"/>
    </row>
    <row r="693">
      <c r="B693" s="8"/>
      <c r="C693" s="8"/>
      <c r="D693" s="8"/>
      <c r="E693" s="8"/>
      <c r="F693" s="129"/>
      <c r="G693" s="8"/>
      <c r="L693" s="157"/>
    </row>
    <row r="694">
      <c r="B694" s="8"/>
      <c r="C694" s="8"/>
      <c r="D694" s="8"/>
      <c r="E694" s="8"/>
      <c r="F694" s="129"/>
      <c r="G694" s="8"/>
      <c r="L694" s="157"/>
    </row>
    <row r="695">
      <c r="B695" s="8"/>
      <c r="C695" s="8"/>
      <c r="D695" s="8"/>
      <c r="E695" s="8"/>
      <c r="F695" s="129"/>
      <c r="G695" s="8"/>
      <c r="L695" s="157"/>
    </row>
    <row r="696">
      <c r="B696" s="8"/>
      <c r="C696" s="8"/>
      <c r="D696" s="8"/>
      <c r="E696" s="8"/>
      <c r="F696" s="129"/>
      <c r="G696" s="8"/>
      <c r="L696" s="157"/>
    </row>
    <row r="697">
      <c r="B697" s="8"/>
      <c r="C697" s="8"/>
      <c r="D697" s="8"/>
      <c r="E697" s="8"/>
      <c r="F697" s="129"/>
      <c r="G697" s="8"/>
      <c r="L697" s="157"/>
    </row>
    <row r="698">
      <c r="B698" s="8"/>
      <c r="C698" s="8"/>
      <c r="D698" s="8"/>
      <c r="E698" s="8"/>
      <c r="F698" s="129"/>
      <c r="G698" s="8"/>
      <c r="L698" s="157"/>
    </row>
    <row r="699">
      <c r="B699" s="8"/>
      <c r="C699" s="8"/>
      <c r="D699" s="8"/>
      <c r="E699" s="8"/>
      <c r="F699" s="129"/>
      <c r="G699" s="8"/>
      <c r="L699" s="157"/>
    </row>
    <row r="700">
      <c r="B700" s="8"/>
      <c r="C700" s="8"/>
      <c r="D700" s="8"/>
      <c r="E700" s="8"/>
      <c r="F700" s="129"/>
      <c r="G700" s="8"/>
      <c r="L700" s="157"/>
    </row>
    <row r="701">
      <c r="B701" s="8"/>
      <c r="C701" s="8"/>
      <c r="D701" s="8"/>
      <c r="E701" s="8"/>
      <c r="F701" s="129"/>
      <c r="G701" s="8"/>
      <c r="L701" s="157"/>
    </row>
    <row r="702">
      <c r="B702" s="8"/>
      <c r="C702" s="8"/>
      <c r="D702" s="8"/>
      <c r="E702" s="8"/>
      <c r="F702" s="129"/>
      <c r="G702" s="8"/>
      <c r="L702" s="157"/>
    </row>
    <row r="703">
      <c r="B703" s="8"/>
      <c r="C703" s="8"/>
      <c r="D703" s="8"/>
      <c r="E703" s="8"/>
      <c r="F703" s="129"/>
      <c r="G703" s="8"/>
      <c r="L703" s="157"/>
    </row>
    <row r="704">
      <c r="B704" s="8"/>
      <c r="C704" s="8"/>
      <c r="D704" s="8"/>
      <c r="E704" s="8"/>
      <c r="F704" s="129"/>
      <c r="G704" s="8"/>
      <c r="L704" s="157"/>
    </row>
    <row r="705">
      <c r="B705" s="8"/>
      <c r="C705" s="8"/>
      <c r="D705" s="8"/>
      <c r="E705" s="8"/>
      <c r="F705" s="129"/>
      <c r="G705" s="8"/>
      <c r="L705" s="157"/>
    </row>
    <row r="706">
      <c r="B706" s="8"/>
      <c r="C706" s="8"/>
      <c r="D706" s="8"/>
      <c r="E706" s="8"/>
      <c r="F706" s="129"/>
      <c r="G706" s="8"/>
      <c r="L706" s="157"/>
    </row>
    <row r="707">
      <c r="B707" s="8"/>
      <c r="C707" s="8"/>
      <c r="D707" s="8"/>
      <c r="E707" s="8"/>
      <c r="F707" s="129"/>
      <c r="G707" s="8"/>
      <c r="L707" s="157"/>
    </row>
    <row r="708">
      <c r="B708" s="8"/>
      <c r="C708" s="8"/>
      <c r="D708" s="8"/>
      <c r="E708" s="8"/>
      <c r="F708" s="129"/>
      <c r="G708" s="8"/>
      <c r="L708" s="157"/>
    </row>
    <row r="709">
      <c r="B709" s="8"/>
      <c r="C709" s="8"/>
      <c r="D709" s="8"/>
      <c r="E709" s="8"/>
      <c r="F709" s="129"/>
      <c r="G709" s="8"/>
      <c r="L709" s="157"/>
    </row>
    <row r="710">
      <c r="B710" s="8"/>
      <c r="C710" s="8"/>
      <c r="D710" s="8"/>
      <c r="E710" s="8"/>
      <c r="F710" s="129"/>
      <c r="G710" s="8"/>
      <c r="L710" s="157"/>
    </row>
    <row r="711">
      <c r="B711" s="8"/>
      <c r="C711" s="8"/>
      <c r="D711" s="8"/>
      <c r="E711" s="8"/>
      <c r="F711" s="129"/>
      <c r="G711" s="8"/>
      <c r="L711" s="157"/>
    </row>
    <row r="712">
      <c r="B712" s="8"/>
      <c r="C712" s="8"/>
      <c r="D712" s="8"/>
      <c r="E712" s="8"/>
      <c r="F712" s="129"/>
      <c r="G712" s="8"/>
      <c r="L712" s="157"/>
    </row>
    <row r="713">
      <c r="B713" s="8"/>
      <c r="C713" s="8"/>
      <c r="D713" s="8"/>
      <c r="E713" s="8"/>
      <c r="F713" s="129"/>
      <c r="G713" s="8"/>
      <c r="L713" s="157"/>
    </row>
    <row r="714">
      <c r="B714" s="8"/>
      <c r="C714" s="8"/>
      <c r="D714" s="8"/>
      <c r="E714" s="8"/>
      <c r="F714" s="129"/>
      <c r="G714" s="8"/>
      <c r="L714" s="157"/>
    </row>
    <row r="715">
      <c r="B715" s="8"/>
      <c r="C715" s="8"/>
      <c r="D715" s="8"/>
      <c r="E715" s="8"/>
      <c r="F715" s="129"/>
      <c r="G715" s="8"/>
      <c r="L715" s="157"/>
    </row>
    <row r="716">
      <c r="B716" s="8"/>
      <c r="C716" s="8"/>
      <c r="D716" s="8"/>
      <c r="E716" s="8"/>
      <c r="F716" s="129"/>
      <c r="G716" s="8"/>
      <c r="L716" s="157"/>
    </row>
    <row r="717">
      <c r="B717" s="8"/>
      <c r="C717" s="8"/>
      <c r="D717" s="8"/>
      <c r="E717" s="8"/>
      <c r="F717" s="129"/>
      <c r="G717" s="8"/>
      <c r="L717" s="157"/>
    </row>
    <row r="718">
      <c r="B718" s="8"/>
      <c r="C718" s="8"/>
      <c r="D718" s="8"/>
      <c r="E718" s="8"/>
      <c r="F718" s="129"/>
      <c r="G718" s="8"/>
      <c r="L718" s="157"/>
    </row>
    <row r="719">
      <c r="B719" s="8"/>
      <c r="C719" s="8"/>
      <c r="D719" s="8"/>
      <c r="E719" s="8"/>
      <c r="F719" s="129"/>
      <c r="G719" s="8"/>
      <c r="L719" s="157"/>
    </row>
    <row r="720">
      <c r="B720" s="8"/>
      <c r="C720" s="8"/>
      <c r="D720" s="8"/>
      <c r="E720" s="8"/>
      <c r="F720" s="129"/>
      <c r="G720" s="8"/>
      <c r="L720" s="157"/>
    </row>
    <row r="721">
      <c r="B721" s="8"/>
      <c r="C721" s="8"/>
      <c r="D721" s="8"/>
      <c r="E721" s="8"/>
      <c r="F721" s="129"/>
      <c r="G721" s="8"/>
      <c r="L721" s="157"/>
    </row>
    <row r="722">
      <c r="B722" s="8"/>
      <c r="C722" s="8"/>
      <c r="D722" s="8"/>
      <c r="E722" s="8"/>
      <c r="F722" s="129"/>
      <c r="G722" s="8"/>
      <c r="L722" s="157"/>
    </row>
    <row r="723">
      <c r="B723" s="8"/>
      <c r="C723" s="8"/>
      <c r="D723" s="8"/>
      <c r="E723" s="8"/>
      <c r="F723" s="129"/>
      <c r="G723" s="8"/>
      <c r="L723" s="157"/>
    </row>
    <row r="724">
      <c r="B724" s="8"/>
      <c r="C724" s="8"/>
      <c r="D724" s="8"/>
      <c r="E724" s="8"/>
      <c r="F724" s="129"/>
      <c r="G724" s="8"/>
      <c r="L724" s="157"/>
    </row>
    <row r="725">
      <c r="B725" s="8"/>
      <c r="C725" s="8"/>
      <c r="D725" s="8"/>
      <c r="E725" s="8"/>
      <c r="F725" s="129"/>
      <c r="G725" s="8"/>
      <c r="L725" s="157"/>
    </row>
    <row r="726">
      <c r="B726" s="8"/>
      <c r="C726" s="8"/>
      <c r="D726" s="8"/>
      <c r="E726" s="8"/>
      <c r="F726" s="129"/>
      <c r="G726" s="8"/>
      <c r="L726" s="157"/>
    </row>
    <row r="727">
      <c r="B727" s="8"/>
      <c r="C727" s="8"/>
      <c r="D727" s="8"/>
      <c r="E727" s="8"/>
      <c r="F727" s="129"/>
      <c r="G727" s="8"/>
      <c r="L727" s="157"/>
    </row>
    <row r="728">
      <c r="B728" s="8"/>
      <c r="C728" s="8"/>
      <c r="D728" s="8"/>
      <c r="E728" s="8"/>
      <c r="F728" s="129"/>
      <c r="G728" s="8"/>
      <c r="L728" s="157"/>
    </row>
    <row r="729">
      <c r="B729" s="8"/>
      <c r="C729" s="8"/>
      <c r="D729" s="8"/>
      <c r="E729" s="8"/>
      <c r="F729" s="129"/>
      <c r="G729" s="8"/>
      <c r="L729" s="157"/>
    </row>
    <row r="730">
      <c r="B730" s="8"/>
      <c r="C730" s="8"/>
      <c r="D730" s="8"/>
      <c r="E730" s="8"/>
      <c r="F730" s="129"/>
      <c r="G730" s="8"/>
      <c r="L730" s="157"/>
    </row>
    <row r="731">
      <c r="B731" s="8"/>
      <c r="C731" s="8"/>
      <c r="D731" s="8"/>
      <c r="E731" s="8"/>
      <c r="F731" s="129"/>
      <c r="G731" s="8"/>
      <c r="L731" s="157"/>
    </row>
    <row r="732">
      <c r="B732" s="8"/>
      <c r="C732" s="8"/>
      <c r="D732" s="8"/>
      <c r="E732" s="8"/>
      <c r="F732" s="129"/>
      <c r="G732" s="8"/>
      <c r="L732" s="157"/>
    </row>
    <row r="733">
      <c r="B733" s="8"/>
      <c r="C733" s="8"/>
      <c r="D733" s="8"/>
      <c r="E733" s="8"/>
      <c r="F733" s="129"/>
      <c r="G733" s="8"/>
      <c r="L733" s="157"/>
    </row>
    <row r="734">
      <c r="B734" s="8"/>
      <c r="C734" s="8"/>
      <c r="D734" s="8"/>
      <c r="E734" s="8"/>
      <c r="F734" s="129"/>
      <c r="G734" s="8"/>
      <c r="L734" s="157"/>
    </row>
    <row r="735">
      <c r="B735" s="8"/>
      <c r="C735" s="8"/>
      <c r="D735" s="8"/>
      <c r="E735" s="8"/>
      <c r="F735" s="129"/>
      <c r="G735" s="8"/>
      <c r="L735" s="157"/>
    </row>
    <row r="736">
      <c r="B736" s="8"/>
      <c r="C736" s="8"/>
      <c r="D736" s="8"/>
      <c r="E736" s="8"/>
      <c r="F736" s="129"/>
      <c r="G736" s="8"/>
      <c r="L736" s="157"/>
    </row>
    <row r="737">
      <c r="B737" s="8"/>
      <c r="C737" s="8"/>
      <c r="D737" s="8"/>
      <c r="E737" s="8"/>
      <c r="F737" s="129"/>
      <c r="G737" s="8"/>
      <c r="L737" s="157"/>
    </row>
    <row r="738">
      <c r="B738" s="8"/>
      <c r="C738" s="8"/>
      <c r="D738" s="8"/>
      <c r="E738" s="8"/>
      <c r="F738" s="129"/>
      <c r="G738" s="8"/>
      <c r="L738" s="157"/>
    </row>
    <row r="739">
      <c r="B739" s="8"/>
      <c r="C739" s="8"/>
      <c r="D739" s="8"/>
      <c r="E739" s="8"/>
      <c r="F739" s="129"/>
      <c r="G739" s="8"/>
      <c r="L739" s="157"/>
    </row>
    <row r="740">
      <c r="B740" s="8"/>
      <c r="C740" s="8"/>
      <c r="D740" s="8"/>
      <c r="E740" s="8"/>
      <c r="F740" s="129"/>
      <c r="G740" s="8"/>
      <c r="L740" s="157"/>
    </row>
    <row r="741">
      <c r="B741" s="8"/>
      <c r="C741" s="8"/>
      <c r="D741" s="8"/>
      <c r="E741" s="8"/>
      <c r="F741" s="129"/>
      <c r="G741" s="8"/>
      <c r="L741" s="157"/>
    </row>
    <row r="742">
      <c r="B742" s="8"/>
      <c r="C742" s="8"/>
      <c r="D742" s="8"/>
      <c r="E742" s="8"/>
      <c r="F742" s="129"/>
      <c r="G742" s="8"/>
      <c r="L742" s="157"/>
    </row>
    <row r="743">
      <c r="B743" s="8"/>
      <c r="C743" s="8"/>
      <c r="D743" s="8"/>
      <c r="E743" s="8"/>
      <c r="F743" s="129"/>
      <c r="G743" s="8"/>
      <c r="L743" s="157"/>
    </row>
    <row r="744">
      <c r="B744" s="8"/>
      <c r="C744" s="8"/>
      <c r="D744" s="8"/>
      <c r="E744" s="8"/>
      <c r="F744" s="129"/>
      <c r="G744" s="8"/>
      <c r="L744" s="157"/>
    </row>
    <row r="745">
      <c r="B745" s="8"/>
      <c r="C745" s="8"/>
      <c r="D745" s="8"/>
      <c r="E745" s="8"/>
      <c r="F745" s="129"/>
      <c r="G745" s="8"/>
      <c r="L745" s="157"/>
    </row>
    <row r="746">
      <c r="B746" s="8"/>
      <c r="C746" s="8"/>
      <c r="D746" s="8"/>
      <c r="E746" s="8"/>
      <c r="F746" s="129"/>
      <c r="G746" s="8"/>
      <c r="L746" s="157"/>
    </row>
    <row r="747">
      <c r="B747" s="8"/>
      <c r="C747" s="8"/>
      <c r="D747" s="8"/>
      <c r="E747" s="8"/>
      <c r="F747" s="129"/>
      <c r="G747" s="8"/>
      <c r="L747" s="157"/>
    </row>
    <row r="748">
      <c r="B748" s="8"/>
      <c r="C748" s="8"/>
      <c r="D748" s="8"/>
      <c r="E748" s="8"/>
      <c r="F748" s="129"/>
      <c r="G748" s="8"/>
      <c r="L748" s="157"/>
    </row>
    <row r="749">
      <c r="B749" s="8"/>
      <c r="C749" s="8"/>
      <c r="D749" s="8"/>
      <c r="E749" s="8"/>
      <c r="F749" s="129"/>
      <c r="G749" s="8"/>
      <c r="L749" s="157"/>
    </row>
    <row r="750">
      <c r="B750" s="8"/>
      <c r="C750" s="8"/>
      <c r="D750" s="8"/>
      <c r="E750" s="8"/>
      <c r="F750" s="129"/>
      <c r="G750" s="8"/>
      <c r="L750" s="157"/>
    </row>
    <row r="751">
      <c r="B751" s="8"/>
      <c r="C751" s="8"/>
      <c r="D751" s="8"/>
      <c r="E751" s="8"/>
      <c r="F751" s="129"/>
      <c r="G751" s="8"/>
      <c r="L751" s="157"/>
    </row>
    <row r="752">
      <c r="B752" s="8"/>
      <c r="C752" s="8"/>
      <c r="D752" s="8"/>
      <c r="E752" s="8"/>
      <c r="F752" s="129"/>
      <c r="G752" s="8"/>
      <c r="L752" s="157"/>
    </row>
    <row r="753">
      <c r="B753" s="8"/>
      <c r="C753" s="8"/>
      <c r="D753" s="8"/>
      <c r="E753" s="8"/>
      <c r="F753" s="129"/>
      <c r="G753" s="8"/>
      <c r="L753" s="157"/>
    </row>
    <row r="754">
      <c r="B754" s="8"/>
      <c r="C754" s="8"/>
      <c r="D754" s="8"/>
      <c r="E754" s="8"/>
      <c r="F754" s="129"/>
      <c r="G754" s="8"/>
      <c r="L754" s="157"/>
    </row>
    <row r="755">
      <c r="B755" s="8"/>
      <c r="C755" s="8"/>
      <c r="D755" s="8"/>
      <c r="E755" s="8"/>
      <c r="F755" s="129"/>
      <c r="G755" s="8"/>
      <c r="L755" s="157"/>
    </row>
    <row r="756">
      <c r="B756" s="8"/>
      <c r="C756" s="8"/>
      <c r="D756" s="8"/>
      <c r="E756" s="8"/>
      <c r="F756" s="129"/>
      <c r="G756" s="8"/>
      <c r="L756" s="157"/>
    </row>
    <row r="757">
      <c r="B757" s="8"/>
      <c r="C757" s="8"/>
      <c r="D757" s="8"/>
      <c r="E757" s="8"/>
      <c r="F757" s="129"/>
      <c r="G757" s="8"/>
      <c r="L757" s="157"/>
    </row>
    <row r="758">
      <c r="B758" s="8"/>
      <c r="C758" s="8"/>
      <c r="D758" s="8"/>
      <c r="E758" s="8"/>
      <c r="F758" s="129"/>
      <c r="G758" s="8"/>
      <c r="L758" s="157"/>
    </row>
    <row r="759">
      <c r="B759" s="8"/>
      <c r="C759" s="8"/>
      <c r="D759" s="8"/>
      <c r="E759" s="8"/>
      <c r="F759" s="129"/>
      <c r="G759" s="8"/>
      <c r="L759" s="157"/>
    </row>
    <row r="760">
      <c r="B760" s="8"/>
      <c r="C760" s="8"/>
      <c r="D760" s="8"/>
      <c r="E760" s="8"/>
      <c r="F760" s="129"/>
      <c r="G760" s="8"/>
      <c r="L760" s="157"/>
    </row>
    <row r="761">
      <c r="B761" s="8"/>
      <c r="C761" s="8"/>
      <c r="D761" s="8"/>
      <c r="E761" s="8"/>
      <c r="F761" s="129"/>
      <c r="G761" s="8"/>
      <c r="L761" s="157"/>
    </row>
    <row r="762">
      <c r="B762" s="8"/>
      <c r="C762" s="8"/>
      <c r="D762" s="8"/>
      <c r="E762" s="8"/>
      <c r="F762" s="129"/>
      <c r="G762" s="8"/>
      <c r="L762" s="157"/>
    </row>
    <row r="763">
      <c r="B763" s="8"/>
      <c r="C763" s="8"/>
      <c r="D763" s="8"/>
      <c r="E763" s="8"/>
      <c r="F763" s="129"/>
      <c r="G763" s="8"/>
      <c r="L763" s="157"/>
    </row>
    <row r="764">
      <c r="B764" s="8"/>
      <c r="C764" s="8"/>
      <c r="D764" s="8"/>
      <c r="E764" s="8"/>
      <c r="F764" s="129"/>
      <c r="G764" s="8"/>
      <c r="L764" s="157"/>
    </row>
    <row r="765">
      <c r="B765" s="8"/>
      <c r="C765" s="8"/>
      <c r="D765" s="8"/>
      <c r="E765" s="8"/>
      <c r="F765" s="129"/>
      <c r="G765" s="8"/>
      <c r="L765" s="157"/>
    </row>
    <row r="766">
      <c r="B766" s="8"/>
      <c r="C766" s="8"/>
      <c r="D766" s="8"/>
      <c r="E766" s="8"/>
      <c r="F766" s="129"/>
      <c r="G766" s="8"/>
      <c r="L766" s="157"/>
    </row>
    <row r="767">
      <c r="B767" s="8"/>
      <c r="C767" s="8"/>
      <c r="D767" s="8"/>
      <c r="E767" s="8"/>
      <c r="F767" s="129"/>
      <c r="G767" s="8"/>
      <c r="L767" s="157"/>
    </row>
    <row r="768">
      <c r="B768" s="8"/>
      <c r="C768" s="8"/>
      <c r="D768" s="8"/>
      <c r="E768" s="8"/>
      <c r="F768" s="129"/>
      <c r="G768" s="8"/>
      <c r="L768" s="157"/>
    </row>
    <row r="769">
      <c r="B769" s="8"/>
      <c r="C769" s="8"/>
      <c r="D769" s="8"/>
      <c r="E769" s="8"/>
      <c r="F769" s="129"/>
      <c r="G769" s="8"/>
      <c r="L769" s="157"/>
    </row>
    <row r="770">
      <c r="B770" s="8"/>
      <c r="C770" s="8"/>
      <c r="D770" s="8"/>
      <c r="E770" s="8"/>
      <c r="F770" s="129"/>
      <c r="G770" s="8"/>
      <c r="L770" s="157"/>
    </row>
    <row r="771">
      <c r="B771" s="8"/>
      <c r="C771" s="8"/>
      <c r="D771" s="8"/>
      <c r="E771" s="8"/>
      <c r="F771" s="129"/>
      <c r="G771" s="8"/>
      <c r="L771" s="157"/>
    </row>
    <row r="772">
      <c r="B772" s="8"/>
      <c r="C772" s="8"/>
      <c r="D772" s="8"/>
      <c r="E772" s="8"/>
      <c r="F772" s="129"/>
      <c r="G772" s="8"/>
      <c r="L772" s="157"/>
    </row>
    <row r="773">
      <c r="B773" s="8"/>
      <c r="C773" s="8"/>
      <c r="D773" s="8"/>
      <c r="E773" s="8"/>
      <c r="F773" s="129"/>
      <c r="G773" s="8"/>
      <c r="L773" s="157"/>
    </row>
    <row r="774">
      <c r="B774" s="8"/>
      <c r="C774" s="8"/>
      <c r="D774" s="8"/>
      <c r="E774" s="8"/>
      <c r="F774" s="129"/>
      <c r="G774" s="8"/>
      <c r="L774" s="157"/>
    </row>
    <row r="775">
      <c r="B775" s="8"/>
      <c r="C775" s="8"/>
      <c r="D775" s="8"/>
      <c r="E775" s="8"/>
      <c r="F775" s="129"/>
      <c r="G775" s="8"/>
      <c r="L775" s="157"/>
    </row>
    <row r="776">
      <c r="B776" s="8"/>
      <c r="C776" s="8"/>
      <c r="D776" s="8"/>
      <c r="E776" s="8"/>
      <c r="F776" s="129"/>
      <c r="G776" s="8"/>
      <c r="L776" s="157"/>
    </row>
    <row r="777">
      <c r="B777" s="8"/>
      <c r="C777" s="8"/>
      <c r="D777" s="8"/>
      <c r="E777" s="8"/>
      <c r="F777" s="129"/>
      <c r="G777" s="8"/>
      <c r="L777" s="157"/>
    </row>
    <row r="778">
      <c r="B778" s="8"/>
      <c r="C778" s="8"/>
      <c r="D778" s="8"/>
      <c r="E778" s="8"/>
      <c r="F778" s="129"/>
      <c r="G778" s="8"/>
      <c r="L778" s="157"/>
    </row>
    <row r="779">
      <c r="B779" s="8"/>
      <c r="C779" s="8"/>
      <c r="D779" s="8"/>
      <c r="E779" s="8"/>
      <c r="F779" s="129"/>
      <c r="G779" s="8"/>
      <c r="L779" s="157"/>
    </row>
    <row r="780">
      <c r="B780" s="8"/>
      <c r="C780" s="8"/>
      <c r="D780" s="8"/>
      <c r="E780" s="8"/>
      <c r="F780" s="129"/>
      <c r="G780" s="8"/>
      <c r="L780" s="157"/>
    </row>
    <row r="781">
      <c r="B781" s="8"/>
      <c r="C781" s="8"/>
      <c r="D781" s="8"/>
      <c r="E781" s="8"/>
      <c r="F781" s="129"/>
      <c r="G781" s="8"/>
      <c r="L781" s="157"/>
    </row>
    <row r="782">
      <c r="B782" s="8"/>
      <c r="C782" s="8"/>
      <c r="D782" s="8"/>
      <c r="E782" s="8"/>
      <c r="F782" s="129"/>
      <c r="G782" s="8"/>
      <c r="L782" s="157"/>
    </row>
    <row r="783">
      <c r="B783" s="8"/>
      <c r="C783" s="8"/>
      <c r="D783" s="8"/>
      <c r="E783" s="8"/>
      <c r="F783" s="129"/>
      <c r="G783" s="8"/>
      <c r="L783" s="157"/>
    </row>
    <row r="784">
      <c r="B784" s="8"/>
      <c r="C784" s="8"/>
      <c r="D784" s="8"/>
      <c r="E784" s="8"/>
      <c r="F784" s="129"/>
      <c r="G784" s="8"/>
      <c r="L784" s="157"/>
    </row>
    <row r="785">
      <c r="B785" s="8"/>
      <c r="C785" s="8"/>
      <c r="D785" s="8"/>
      <c r="E785" s="8"/>
      <c r="F785" s="129"/>
      <c r="G785" s="8"/>
      <c r="L785" s="157"/>
    </row>
    <row r="786">
      <c r="B786" s="8"/>
      <c r="C786" s="8"/>
      <c r="D786" s="8"/>
      <c r="E786" s="8"/>
      <c r="F786" s="129"/>
      <c r="G786" s="8"/>
      <c r="L786" s="157"/>
    </row>
    <row r="787">
      <c r="B787" s="8"/>
      <c r="C787" s="8"/>
      <c r="D787" s="8"/>
      <c r="E787" s="8"/>
      <c r="F787" s="129"/>
      <c r="G787" s="8"/>
      <c r="L787" s="157"/>
    </row>
    <row r="788">
      <c r="B788" s="8"/>
      <c r="C788" s="8"/>
      <c r="D788" s="8"/>
      <c r="E788" s="8"/>
      <c r="F788" s="129"/>
      <c r="G788" s="8"/>
      <c r="L788" s="157"/>
    </row>
    <row r="789">
      <c r="B789" s="8"/>
      <c r="C789" s="8"/>
      <c r="D789" s="8"/>
      <c r="E789" s="8"/>
      <c r="F789" s="129"/>
      <c r="G789" s="8"/>
      <c r="L789" s="157"/>
    </row>
    <row r="790">
      <c r="B790" s="8"/>
      <c r="C790" s="8"/>
      <c r="D790" s="8"/>
      <c r="E790" s="8"/>
      <c r="F790" s="129"/>
      <c r="G790" s="8"/>
      <c r="L790" s="157"/>
    </row>
    <row r="791">
      <c r="B791" s="8"/>
      <c r="C791" s="8"/>
      <c r="D791" s="8"/>
      <c r="E791" s="8"/>
      <c r="F791" s="129"/>
      <c r="G791" s="8"/>
      <c r="L791" s="157"/>
    </row>
    <row r="792">
      <c r="B792" s="8"/>
      <c r="C792" s="8"/>
      <c r="D792" s="8"/>
      <c r="E792" s="8"/>
      <c r="F792" s="129"/>
      <c r="G792" s="8"/>
      <c r="L792" s="157"/>
    </row>
    <row r="793">
      <c r="B793" s="8"/>
      <c r="C793" s="8"/>
      <c r="D793" s="8"/>
      <c r="E793" s="8"/>
      <c r="F793" s="129"/>
      <c r="G793" s="8"/>
      <c r="L793" s="157"/>
    </row>
    <row r="794">
      <c r="B794" s="8"/>
      <c r="C794" s="8"/>
      <c r="D794" s="8"/>
      <c r="E794" s="8"/>
      <c r="F794" s="129"/>
      <c r="G794" s="8"/>
      <c r="L794" s="157"/>
    </row>
    <row r="795">
      <c r="B795" s="8"/>
      <c r="C795" s="8"/>
      <c r="D795" s="8"/>
      <c r="E795" s="8"/>
      <c r="F795" s="129"/>
      <c r="G795" s="8"/>
      <c r="L795" s="157"/>
    </row>
    <row r="796">
      <c r="B796" s="8"/>
      <c r="C796" s="8"/>
      <c r="D796" s="8"/>
      <c r="E796" s="8"/>
      <c r="F796" s="129"/>
      <c r="G796" s="8"/>
      <c r="L796" s="157"/>
    </row>
    <row r="797">
      <c r="B797" s="8"/>
      <c r="C797" s="8"/>
      <c r="D797" s="8"/>
      <c r="E797" s="8"/>
      <c r="F797" s="129"/>
      <c r="G797" s="8"/>
      <c r="L797" s="157"/>
    </row>
    <row r="798">
      <c r="B798" s="8"/>
      <c r="C798" s="8"/>
      <c r="D798" s="8"/>
      <c r="E798" s="8"/>
      <c r="F798" s="129"/>
      <c r="G798" s="8"/>
      <c r="L798" s="157"/>
    </row>
    <row r="799">
      <c r="B799" s="8"/>
      <c r="C799" s="8"/>
      <c r="D799" s="8"/>
      <c r="E799" s="8"/>
      <c r="F799" s="129"/>
      <c r="G799" s="8"/>
      <c r="L799" s="157"/>
    </row>
    <row r="800">
      <c r="B800" s="8"/>
      <c r="C800" s="8"/>
      <c r="D800" s="8"/>
      <c r="E800" s="8"/>
      <c r="F800" s="129"/>
      <c r="G800" s="8"/>
      <c r="L800" s="157"/>
    </row>
    <row r="801">
      <c r="B801" s="8"/>
      <c r="C801" s="8"/>
      <c r="D801" s="8"/>
      <c r="E801" s="8"/>
      <c r="F801" s="129"/>
      <c r="G801" s="8"/>
      <c r="L801" s="157"/>
    </row>
    <row r="802">
      <c r="B802" s="8"/>
      <c r="C802" s="8"/>
      <c r="D802" s="8"/>
      <c r="E802" s="8"/>
      <c r="F802" s="129"/>
      <c r="G802" s="8"/>
      <c r="L802" s="157"/>
    </row>
    <row r="803">
      <c r="B803" s="8"/>
      <c r="C803" s="8"/>
      <c r="D803" s="8"/>
      <c r="E803" s="8"/>
      <c r="F803" s="129"/>
      <c r="G803" s="8"/>
      <c r="L803" s="157"/>
    </row>
    <row r="804">
      <c r="B804" s="8"/>
      <c r="C804" s="8"/>
      <c r="D804" s="8"/>
      <c r="E804" s="8"/>
      <c r="F804" s="129"/>
      <c r="G804" s="8"/>
      <c r="L804" s="157"/>
    </row>
    <row r="805">
      <c r="B805" s="8"/>
      <c r="C805" s="8"/>
      <c r="D805" s="8"/>
      <c r="E805" s="8"/>
      <c r="F805" s="129"/>
      <c r="G805" s="8"/>
      <c r="L805" s="157"/>
    </row>
    <row r="806">
      <c r="B806" s="8"/>
      <c r="C806" s="8"/>
      <c r="D806" s="8"/>
      <c r="E806" s="8"/>
      <c r="F806" s="129"/>
      <c r="G806" s="8"/>
      <c r="L806" s="157"/>
    </row>
    <row r="807">
      <c r="B807" s="8"/>
      <c r="C807" s="8"/>
      <c r="D807" s="8"/>
      <c r="E807" s="8"/>
      <c r="F807" s="129"/>
      <c r="G807" s="8"/>
      <c r="L807" s="157"/>
    </row>
    <row r="808">
      <c r="B808" s="8"/>
      <c r="C808" s="8"/>
      <c r="D808" s="8"/>
      <c r="E808" s="8"/>
      <c r="F808" s="129"/>
      <c r="G808" s="8"/>
      <c r="L808" s="157"/>
    </row>
    <row r="809">
      <c r="B809" s="8"/>
      <c r="C809" s="8"/>
      <c r="D809" s="8"/>
      <c r="E809" s="8"/>
      <c r="F809" s="129"/>
      <c r="G809" s="8"/>
      <c r="L809" s="157"/>
    </row>
    <row r="810">
      <c r="B810" s="8"/>
      <c r="C810" s="8"/>
      <c r="D810" s="8"/>
      <c r="E810" s="8"/>
      <c r="F810" s="129"/>
      <c r="G810" s="8"/>
      <c r="L810" s="157"/>
    </row>
    <row r="811">
      <c r="B811" s="8"/>
      <c r="C811" s="8"/>
      <c r="D811" s="8"/>
      <c r="E811" s="8"/>
      <c r="F811" s="129"/>
      <c r="G811" s="8"/>
      <c r="L811" s="157"/>
    </row>
    <row r="812">
      <c r="B812" s="8"/>
      <c r="C812" s="8"/>
      <c r="D812" s="8"/>
      <c r="E812" s="8"/>
      <c r="F812" s="129"/>
      <c r="G812" s="8"/>
      <c r="L812" s="157"/>
    </row>
    <row r="813">
      <c r="B813" s="8"/>
      <c r="C813" s="8"/>
      <c r="D813" s="8"/>
      <c r="E813" s="8"/>
      <c r="F813" s="129"/>
      <c r="G813" s="8"/>
      <c r="L813" s="157"/>
    </row>
    <row r="814">
      <c r="B814" s="8"/>
      <c r="C814" s="8"/>
      <c r="D814" s="8"/>
      <c r="E814" s="8"/>
      <c r="F814" s="129"/>
      <c r="G814" s="8"/>
      <c r="L814" s="157"/>
    </row>
    <row r="815">
      <c r="B815" s="8"/>
      <c r="C815" s="8"/>
      <c r="D815" s="8"/>
      <c r="E815" s="8"/>
      <c r="F815" s="129"/>
      <c r="G815" s="8"/>
      <c r="L815" s="157"/>
    </row>
    <row r="816">
      <c r="B816" s="8"/>
      <c r="C816" s="8"/>
      <c r="D816" s="8"/>
      <c r="E816" s="8"/>
      <c r="F816" s="129"/>
      <c r="G816" s="8"/>
      <c r="L816" s="157"/>
    </row>
    <row r="817">
      <c r="B817" s="8"/>
      <c r="C817" s="8"/>
      <c r="D817" s="8"/>
      <c r="E817" s="8"/>
      <c r="F817" s="129"/>
      <c r="G817" s="8"/>
      <c r="L817" s="157"/>
    </row>
    <row r="818">
      <c r="B818" s="8"/>
      <c r="C818" s="8"/>
      <c r="D818" s="8"/>
      <c r="E818" s="8"/>
      <c r="F818" s="129"/>
      <c r="G818" s="8"/>
      <c r="L818" s="157"/>
    </row>
    <row r="819">
      <c r="B819" s="8"/>
      <c r="C819" s="8"/>
      <c r="D819" s="8"/>
      <c r="E819" s="8"/>
      <c r="F819" s="129"/>
      <c r="G819" s="8"/>
      <c r="L819" s="157"/>
    </row>
    <row r="820">
      <c r="B820" s="8"/>
      <c r="C820" s="8"/>
      <c r="D820" s="8"/>
      <c r="E820" s="8"/>
      <c r="F820" s="129"/>
      <c r="G820" s="8"/>
      <c r="L820" s="157"/>
    </row>
    <row r="821">
      <c r="B821" s="8"/>
      <c r="C821" s="8"/>
      <c r="D821" s="8"/>
      <c r="E821" s="8"/>
      <c r="F821" s="129"/>
      <c r="G821" s="8"/>
      <c r="L821" s="157"/>
    </row>
    <row r="822">
      <c r="B822" s="8"/>
      <c r="C822" s="8"/>
      <c r="D822" s="8"/>
      <c r="E822" s="8"/>
      <c r="F822" s="129"/>
      <c r="G822" s="8"/>
      <c r="L822" s="157"/>
    </row>
    <row r="823">
      <c r="B823" s="8"/>
      <c r="C823" s="8"/>
      <c r="D823" s="8"/>
      <c r="E823" s="8"/>
      <c r="F823" s="129"/>
      <c r="G823" s="8"/>
      <c r="L823" s="157"/>
    </row>
    <row r="824">
      <c r="B824" s="8"/>
      <c r="C824" s="8"/>
      <c r="D824" s="8"/>
      <c r="E824" s="8"/>
      <c r="F824" s="129"/>
      <c r="G824" s="8"/>
      <c r="L824" s="157"/>
    </row>
    <row r="825">
      <c r="B825" s="8"/>
      <c r="C825" s="8"/>
      <c r="D825" s="8"/>
      <c r="E825" s="8"/>
      <c r="F825" s="129"/>
      <c r="G825" s="8"/>
      <c r="L825" s="157"/>
    </row>
    <row r="826">
      <c r="B826" s="8"/>
      <c r="C826" s="8"/>
      <c r="D826" s="8"/>
      <c r="E826" s="8"/>
      <c r="F826" s="129"/>
      <c r="G826" s="8"/>
      <c r="L826" s="157"/>
    </row>
    <row r="827">
      <c r="B827" s="8"/>
      <c r="C827" s="8"/>
      <c r="D827" s="8"/>
      <c r="E827" s="8"/>
      <c r="F827" s="129"/>
      <c r="G827" s="8"/>
      <c r="L827" s="157"/>
    </row>
    <row r="828">
      <c r="B828" s="8"/>
      <c r="C828" s="8"/>
      <c r="D828" s="8"/>
      <c r="E828" s="8"/>
      <c r="F828" s="129"/>
      <c r="G828" s="8"/>
      <c r="L828" s="157"/>
    </row>
    <row r="829">
      <c r="B829" s="8"/>
      <c r="C829" s="8"/>
      <c r="D829" s="8"/>
      <c r="E829" s="8"/>
      <c r="F829" s="129"/>
      <c r="G829" s="8"/>
      <c r="L829" s="157"/>
    </row>
    <row r="830">
      <c r="B830" s="8"/>
      <c r="C830" s="8"/>
      <c r="D830" s="8"/>
      <c r="E830" s="8"/>
      <c r="F830" s="129"/>
      <c r="G830" s="8"/>
      <c r="L830" s="157"/>
    </row>
    <row r="831">
      <c r="B831" s="8"/>
      <c r="C831" s="8"/>
      <c r="D831" s="8"/>
      <c r="E831" s="8"/>
      <c r="F831" s="129"/>
      <c r="G831" s="8"/>
      <c r="L831" s="157"/>
    </row>
    <row r="832">
      <c r="B832" s="8"/>
      <c r="C832" s="8"/>
      <c r="D832" s="8"/>
      <c r="E832" s="8"/>
      <c r="F832" s="129"/>
      <c r="G832" s="8"/>
      <c r="L832" s="157"/>
    </row>
    <row r="833">
      <c r="B833" s="8"/>
      <c r="C833" s="8"/>
      <c r="D833" s="8"/>
      <c r="E833" s="8"/>
      <c r="F833" s="129"/>
      <c r="G833" s="8"/>
      <c r="L833" s="157"/>
    </row>
    <row r="834">
      <c r="B834" s="8"/>
      <c r="C834" s="8"/>
      <c r="D834" s="8"/>
      <c r="E834" s="8"/>
      <c r="F834" s="129"/>
      <c r="G834" s="8"/>
      <c r="L834" s="157"/>
    </row>
    <row r="835">
      <c r="B835" s="8"/>
      <c r="C835" s="8"/>
      <c r="D835" s="8"/>
      <c r="E835" s="8"/>
      <c r="F835" s="129"/>
      <c r="G835" s="8"/>
      <c r="L835" s="157"/>
    </row>
    <row r="836">
      <c r="B836" s="8"/>
      <c r="C836" s="8"/>
      <c r="D836" s="8"/>
      <c r="E836" s="8"/>
      <c r="F836" s="129"/>
      <c r="G836" s="8"/>
      <c r="L836" s="157"/>
    </row>
    <row r="837">
      <c r="B837" s="8"/>
      <c r="C837" s="8"/>
      <c r="D837" s="8"/>
      <c r="E837" s="8"/>
      <c r="F837" s="129"/>
      <c r="G837" s="8"/>
      <c r="L837" s="157"/>
    </row>
    <row r="838">
      <c r="B838" s="8"/>
      <c r="C838" s="8"/>
      <c r="D838" s="8"/>
      <c r="E838" s="8"/>
      <c r="F838" s="129"/>
      <c r="G838" s="8"/>
      <c r="L838" s="157"/>
    </row>
    <row r="839">
      <c r="B839" s="8"/>
      <c r="C839" s="8"/>
      <c r="D839" s="8"/>
      <c r="E839" s="8"/>
      <c r="F839" s="129"/>
      <c r="G839" s="8"/>
      <c r="L839" s="157"/>
    </row>
    <row r="840">
      <c r="B840" s="8"/>
      <c r="C840" s="8"/>
      <c r="D840" s="8"/>
      <c r="E840" s="8"/>
      <c r="F840" s="129"/>
      <c r="G840" s="8"/>
      <c r="L840" s="157"/>
    </row>
    <row r="841">
      <c r="B841" s="8"/>
      <c r="C841" s="8"/>
      <c r="D841" s="8"/>
      <c r="E841" s="8"/>
      <c r="F841" s="129"/>
      <c r="G841" s="8"/>
      <c r="L841" s="157"/>
    </row>
    <row r="842">
      <c r="B842" s="8"/>
      <c r="C842" s="8"/>
      <c r="D842" s="8"/>
      <c r="E842" s="8"/>
      <c r="F842" s="129"/>
      <c r="G842" s="8"/>
      <c r="L842" s="157"/>
    </row>
    <row r="843">
      <c r="B843" s="8"/>
      <c r="C843" s="8"/>
      <c r="D843" s="8"/>
      <c r="E843" s="8"/>
      <c r="F843" s="129"/>
      <c r="G843" s="8"/>
      <c r="L843" s="157"/>
    </row>
    <row r="844">
      <c r="B844" s="8"/>
      <c r="C844" s="8"/>
      <c r="D844" s="8"/>
      <c r="E844" s="8"/>
      <c r="F844" s="129"/>
      <c r="G844" s="8"/>
      <c r="L844" s="157"/>
    </row>
    <row r="845">
      <c r="B845" s="8"/>
      <c r="C845" s="8"/>
      <c r="D845" s="8"/>
      <c r="E845" s="8"/>
      <c r="F845" s="129"/>
      <c r="G845" s="8"/>
      <c r="L845" s="157"/>
    </row>
    <row r="846">
      <c r="B846" s="8"/>
      <c r="C846" s="8"/>
      <c r="D846" s="8"/>
      <c r="E846" s="8"/>
      <c r="F846" s="129"/>
      <c r="G846" s="8"/>
      <c r="L846" s="157"/>
    </row>
    <row r="847">
      <c r="B847" s="8"/>
      <c r="C847" s="8"/>
      <c r="D847" s="8"/>
      <c r="E847" s="8"/>
      <c r="F847" s="129"/>
      <c r="G847" s="8"/>
      <c r="L847" s="157"/>
    </row>
    <row r="848">
      <c r="B848" s="8"/>
      <c r="C848" s="8"/>
      <c r="D848" s="8"/>
      <c r="E848" s="8"/>
      <c r="F848" s="129"/>
      <c r="G848" s="8"/>
      <c r="L848" s="157"/>
    </row>
    <row r="849">
      <c r="B849" s="8"/>
      <c r="C849" s="8"/>
      <c r="D849" s="8"/>
      <c r="E849" s="8"/>
      <c r="F849" s="129"/>
      <c r="G849" s="8"/>
      <c r="L849" s="157"/>
    </row>
    <row r="850">
      <c r="B850" s="8"/>
      <c r="C850" s="8"/>
      <c r="D850" s="8"/>
      <c r="E850" s="8"/>
      <c r="F850" s="129"/>
      <c r="G850" s="8"/>
      <c r="L850" s="157"/>
    </row>
    <row r="851">
      <c r="B851" s="8"/>
      <c r="C851" s="8"/>
      <c r="D851" s="8"/>
      <c r="E851" s="8"/>
      <c r="F851" s="129"/>
      <c r="G851" s="8"/>
      <c r="L851" s="157"/>
    </row>
    <row r="852">
      <c r="B852" s="8"/>
      <c r="C852" s="8"/>
      <c r="D852" s="8"/>
      <c r="E852" s="8"/>
      <c r="F852" s="129"/>
      <c r="G852" s="8"/>
      <c r="L852" s="157"/>
    </row>
    <row r="853">
      <c r="B853" s="8"/>
      <c r="C853" s="8"/>
      <c r="D853" s="8"/>
      <c r="E853" s="8"/>
      <c r="F853" s="129"/>
      <c r="G853" s="8"/>
      <c r="L853" s="157"/>
    </row>
    <row r="854">
      <c r="B854" s="8"/>
      <c r="C854" s="8"/>
      <c r="D854" s="8"/>
      <c r="E854" s="8"/>
      <c r="F854" s="129"/>
      <c r="G854" s="8"/>
      <c r="L854" s="157"/>
    </row>
    <row r="855">
      <c r="B855" s="8"/>
      <c r="C855" s="8"/>
      <c r="D855" s="8"/>
      <c r="E855" s="8"/>
      <c r="F855" s="129"/>
      <c r="G855" s="8"/>
      <c r="L855" s="157"/>
    </row>
    <row r="856">
      <c r="B856" s="8"/>
      <c r="C856" s="8"/>
      <c r="D856" s="8"/>
      <c r="E856" s="8"/>
      <c r="F856" s="129"/>
      <c r="G856" s="8"/>
      <c r="L856" s="157"/>
    </row>
    <row r="857">
      <c r="B857" s="8"/>
      <c r="C857" s="8"/>
      <c r="D857" s="8"/>
      <c r="E857" s="8"/>
      <c r="F857" s="129"/>
      <c r="G857" s="8"/>
      <c r="L857" s="157"/>
    </row>
    <row r="858">
      <c r="B858" s="8"/>
      <c r="C858" s="8"/>
      <c r="D858" s="8"/>
      <c r="E858" s="8"/>
      <c r="F858" s="129"/>
      <c r="G858" s="8"/>
      <c r="L858" s="157"/>
    </row>
    <row r="859">
      <c r="B859" s="8"/>
      <c r="C859" s="8"/>
      <c r="D859" s="8"/>
      <c r="E859" s="8"/>
      <c r="F859" s="129"/>
      <c r="G859" s="8"/>
      <c r="L859" s="157"/>
    </row>
    <row r="860">
      <c r="B860" s="8"/>
      <c r="C860" s="8"/>
      <c r="D860" s="8"/>
      <c r="E860" s="8"/>
      <c r="F860" s="129"/>
      <c r="G860" s="8"/>
      <c r="L860" s="157"/>
    </row>
    <row r="861">
      <c r="B861" s="8"/>
      <c r="C861" s="8"/>
      <c r="D861" s="8"/>
      <c r="E861" s="8"/>
      <c r="F861" s="129"/>
      <c r="G861" s="8"/>
      <c r="L861" s="157"/>
    </row>
    <row r="862">
      <c r="B862" s="8"/>
      <c r="C862" s="8"/>
      <c r="D862" s="8"/>
      <c r="E862" s="8"/>
      <c r="F862" s="129"/>
      <c r="G862" s="8"/>
      <c r="L862" s="157"/>
    </row>
    <row r="863">
      <c r="B863" s="8"/>
      <c r="C863" s="8"/>
      <c r="D863" s="8"/>
      <c r="E863" s="8"/>
      <c r="F863" s="129"/>
      <c r="G863" s="8"/>
      <c r="L863" s="157"/>
    </row>
    <row r="864">
      <c r="B864" s="8"/>
      <c r="C864" s="8"/>
      <c r="D864" s="8"/>
      <c r="E864" s="8"/>
      <c r="F864" s="129"/>
      <c r="G864" s="8"/>
      <c r="L864" s="157"/>
    </row>
    <row r="865">
      <c r="B865" s="8"/>
      <c r="C865" s="8"/>
      <c r="D865" s="8"/>
      <c r="E865" s="8"/>
      <c r="F865" s="129"/>
      <c r="G865" s="8"/>
      <c r="L865" s="157"/>
    </row>
    <row r="866">
      <c r="B866" s="8"/>
      <c r="C866" s="8"/>
      <c r="D866" s="8"/>
      <c r="E866" s="8"/>
      <c r="F866" s="129"/>
      <c r="G866" s="8"/>
      <c r="L866" s="157"/>
    </row>
    <row r="867">
      <c r="B867" s="8"/>
      <c r="C867" s="8"/>
      <c r="D867" s="8"/>
      <c r="E867" s="8"/>
      <c r="F867" s="129"/>
      <c r="G867" s="8"/>
      <c r="L867" s="157"/>
    </row>
    <row r="868">
      <c r="B868" s="8"/>
      <c r="C868" s="8"/>
      <c r="D868" s="8"/>
      <c r="E868" s="8"/>
      <c r="F868" s="129"/>
      <c r="G868" s="8"/>
      <c r="L868" s="157"/>
    </row>
    <row r="869">
      <c r="B869" s="8"/>
      <c r="C869" s="8"/>
      <c r="D869" s="8"/>
      <c r="E869" s="8"/>
      <c r="F869" s="129"/>
      <c r="G869" s="8"/>
      <c r="L869" s="157"/>
    </row>
    <row r="870">
      <c r="B870" s="8"/>
      <c r="C870" s="8"/>
      <c r="D870" s="8"/>
      <c r="E870" s="8"/>
      <c r="F870" s="129"/>
      <c r="G870" s="8"/>
      <c r="L870" s="157"/>
    </row>
    <row r="871">
      <c r="B871" s="8"/>
      <c r="C871" s="8"/>
      <c r="D871" s="8"/>
      <c r="E871" s="8"/>
      <c r="F871" s="129"/>
      <c r="G871" s="8"/>
      <c r="L871" s="157"/>
    </row>
    <row r="872">
      <c r="B872" s="8"/>
      <c r="C872" s="8"/>
      <c r="D872" s="8"/>
      <c r="E872" s="8"/>
      <c r="F872" s="129"/>
      <c r="G872" s="8"/>
      <c r="L872" s="157"/>
    </row>
    <row r="873">
      <c r="B873" s="8"/>
      <c r="C873" s="8"/>
      <c r="D873" s="8"/>
      <c r="E873" s="8"/>
      <c r="F873" s="129"/>
      <c r="G873" s="8"/>
      <c r="L873" s="157"/>
    </row>
    <row r="874">
      <c r="B874" s="8"/>
      <c r="C874" s="8"/>
      <c r="D874" s="8"/>
      <c r="E874" s="8"/>
      <c r="F874" s="129"/>
      <c r="G874" s="8"/>
      <c r="L874" s="157"/>
    </row>
    <row r="875">
      <c r="B875" s="8"/>
      <c r="C875" s="8"/>
      <c r="D875" s="8"/>
      <c r="E875" s="8"/>
      <c r="F875" s="129"/>
      <c r="G875" s="8"/>
      <c r="L875" s="157"/>
    </row>
    <row r="876">
      <c r="B876" s="8"/>
      <c r="C876" s="8"/>
      <c r="D876" s="8"/>
      <c r="E876" s="8"/>
      <c r="F876" s="129"/>
      <c r="G876" s="8"/>
      <c r="L876" s="157"/>
    </row>
    <row r="877">
      <c r="B877" s="8"/>
      <c r="C877" s="8"/>
      <c r="D877" s="8"/>
      <c r="E877" s="8"/>
      <c r="F877" s="129"/>
      <c r="G877" s="8"/>
      <c r="L877" s="157"/>
    </row>
    <row r="878">
      <c r="B878" s="8"/>
      <c r="C878" s="8"/>
      <c r="D878" s="8"/>
      <c r="E878" s="8"/>
      <c r="F878" s="129"/>
      <c r="G878" s="8"/>
      <c r="L878" s="157"/>
    </row>
    <row r="879">
      <c r="B879" s="8"/>
      <c r="C879" s="8"/>
      <c r="D879" s="8"/>
      <c r="E879" s="8"/>
      <c r="F879" s="129"/>
      <c r="G879" s="8"/>
      <c r="L879" s="157"/>
    </row>
    <row r="880">
      <c r="B880" s="8"/>
      <c r="C880" s="8"/>
      <c r="D880" s="8"/>
      <c r="E880" s="8"/>
      <c r="F880" s="129"/>
      <c r="G880" s="8"/>
      <c r="L880" s="157"/>
    </row>
    <row r="881">
      <c r="B881" s="8"/>
      <c r="C881" s="8"/>
      <c r="D881" s="8"/>
      <c r="E881" s="8"/>
      <c r="F881" s="129"/>
      <c r="G881" s="8"/>
      <c r="L881" s="157"/>
    </row>
    <row r="882">
      <c r="B882" s="8"/>
      <c r="C882" s="8"/>
      <c r="D882" s="8"/>
      <c r="E882" s="8"/>
      <c r="F882" s="129"/>
      <c r="G882" s="8"/>
      <c r="L882" s="157"/>
    </row>
    <row r="883">
      <c r="B883" s="8"/>
      <c r="C883" s="8"/>
      <c r="D883" s="8"/>
      <c r="E883" s="8"/>
      <c r="F883" s="129"/>
      <c r="G883" s="8"/>
      <c r="L883" s="157"/>
    </row>
    <row r="884">
      <c r="B884" s="8"/>
      <c r="C884" s="8"/>
      <c r="D884" s="8"/>
      <c r="E884" s="8"/>
      <c r="F884" s="129"/>
      <c r="G884" s="8"/>
      <c r="L884" s="157"/>
    </row>
    <row r="885">
      <c r="B885" s="8"/>
      <c r="C885" s="8"/>
      <c r="D885" s="8"/>
      <c r="E885" s="8"/>
      <c r="F885" s="129"/>
      <c r="G885" s="8"/>
      <c r="L885" s="157"/>
    </row>
    <row r="886">
      <c r="B886" s="8"/>
      <c r="C886" s="8"/>
      <c r="D886" s="8"/>
      <c r="E886" s="8"/>
      <c r="F886" s="129"/>
      <c r="G886" s="8"/>
      <c r="L886" s="157"/>
    </row>
    <row r="887">
      <c r="B887" s="8"/>
      <c r="C887" s="8"/>
      <c r="D887" s="8"/>
      <c r="E887" s="8"/>
      <c r="F887" s="129"/>
      <c r="G887" s="8"/>
      <c r="L887" s="157"/>
    </row>
    <row r="888">
      <c r="B888" s="8"/>
      <c r="C888" s="8"/>
      <c r="D888" s="8"/>
      <c r="E888" s="8"/>
      <c r="F888" s="129"/>
      <c r="G888" s="8"/>
      <c r="L888" s="157"/>
    </row>
    <row r="889">
      <c r="B889" s="8"/>
      <c r="C889" s="8"/>
      <c r="D889" s="8"/>
      <c r="E889" s="8"/>
      <c r="F889" s="129"/>
      <c r="G889" s="8"/>
      <c r="L889" s="157"/>
    </row>
    <row r="890">
      <c r="B890" s="8"/>
      <c r="C890" s="8"/>
      <c r="D890" s="8"/>
      <c r="E890" s="8"/>
      <c r="F890" s="129"/>
      <c r="G890" s="8"/>
      <c r="L890" s="157"/>
    </row>
    <row r="891">
      <c r="B891" s="8"/>
      <c r="C891" s="8"/>
      <c r="D891" s="8"/>
      <c r="E891" s="8"/>
      <c r="F891" s="129"/>
      <c r="G891" s="8"/>
      <c r="L891" s="157"/>
    </row>
    <row r="892">
      <c r="B892" s="8"/>
      <c r="C892" s="8"/>
      <c r="D892" s="8"/>
      <c r="E892" s="8"/>
      <c r="F892" s="129"/>
      <c r="G892" s="8"/>
      <c r="L892" s="157"/>
    </row>
    <row r="893">
      <c r="B893" s="8"/>
      <c r="C893" s="8"/>
      <c r="D893" s="8"/>
      <c r="E893" s="8"/>
      <c r="F893" s="129"/>
      <c r="G893" s="8"/>
      <c r="L893" s="157"/>
    </row>
    <row r="894">
      <c r="B894" s="8"/>
      <c r="C894" s="8"/>
      <c r="D894" s="8"/>
      <c r="E894" s="8"/>
      <c r="F894" s="129"/>
      <c r="G894" s="8"/>
      <c r="L894" s="157"/>
    </row>
    <row r="895">
      <c r="B895" s="8"/>
      <c r="C895" s="8"/>
      <c r="D895" s="8"/>
      <c r="E895" s="8"/>
      <c r="F895" s="129"/>
      <c r="G895" s="8"/>
      <c r="L895" s="157"/>
    </row>
    <row r="896">
      <c r="B896" s="8"/>
      <c r="C896" s="8"/>
      <c r="D896" s="8"/>
      <c r="E896" s="8"/>
      <c r="F896" s="129"/>
      <c r="G896" s="8"/>
      <c r="L896" s="157"/>
    </row>
    <row r="897">
      <c r="B897" s="8"/>
      <c r="C897" s="8"/>
      <c r="D897" s="8"/>
      <c r="E897" s="8"/>
      <c r="F897" s="129"/>
      <c r="G897" s="8"/>
      <c r="L897" s="157"/>
    </row>
    <row r="898">
      <c r="B898" s="8"/>
      <c r="C898" s="8"/>
      <c r="D898" s="8"/>
      <c r="E898" s="8"/>
      <c r="F898" s="129"/>
      <c r="G898" s="8"/>
      <c r="L898" s="157"/>
    </row>
    <row r="899">
      <c r="B899" s="8"/>
      <c r="C899" s="8"/>
      <c r="D899" s="8"/>
      <c r="E899" s="8"/>
      <c r="F899" s="129"/>
      <c r="G899" s="8"/>
      <c r="L899" s="157"/>
    </row>
    <row r="900">
      <c r="B900" s="8"/>
      <c r="C900" s="8"/>
      <c r="D900" s="8"/>
      <c r="E900" s="8"/>
      <c r="F900" s="129"/>
      <c r="G900" s="8"/>
      <c r="L900" s="157"/>
    </row>
    <row r="901">
      <c r="B901" s="8"/>
      <c r="C901" s="8"/>
      <c r="D901" s="8"/>
      <c r="E901" s="8"/>
      <c r="F901" s="129"/>
      <c r="G901" s="8"/>
      <c r="L901" s="157"/>
    </row>
    <row r="902">
      <c r="B902" s="8"/>
      <c r="C902" s="8"/>
      <c r="D902" s="8"/>
      <c r="E902" s="8"/>
      <c r="F902" s="129"/>
      <c r="G902" s="8"/>
      <c r="L902" s="157"/>
    </row>
    <row r="903">
      <c r="B903" s="8"/>
      <c r="C903" s="8"/>
      <c r="D903" s="8"/>
      <c r="E903" s="8"/>
      <c r="F903" s="129"/>
      <c r="G903" s="8"/>
      <c r="L903" s="157"/>
    </row>
    <row r="904">
      <c r="B904" s="8"/>
      <c r="C904" s="8"/>
      <c r="D904" s="8"/>
      <c r="E904" s="8"/>
      <c r="F904" s="129"/>
      <c r="G904" s="8"/>
      <c r="L904" s="157"/>
    </row>
    <row r="905">
      <c r="B905" s="8"/>
      <c r="C905" s="8"/>
      <c r="D905" s="8"/>
      <c r="E905" s="8"/>
      <c r="F905" s="129"/>
      <c r="G905" s="8"/>
      <c r="L905" s="157"/>
    </row>
    <row r="906">
      <c r="B906" s="8"/>
      <c r="C906" s="8"/>
      <c r="D906" s="8"/>
      <c r="E906" s="8"/>
      <c r="F906" s="129"/>
      <c r="G906" s="8"/>
      <c r="L906" s="157"/>
    </row>
    <row r="907">
      <c r="B907" s="8"/>
      <c r="C907" s="8"/>
      <c r="D907" s="8"/>
      <c r="E907" s="8"/>
      <c r="F907" s="129"/>
      <c r="G907" s="8"/>
      <c r="L907" s="157"/>
    </row>
    <row r="908">
      <c r="B908" s="8"/>
      <c r="C908" s="8"/>
      <c r="D908" s="8"/>
      <c r="E908" s="8"/>
      <c r="F908" s="129"/>
      <c r="G908" s="8"/>
      <c r="L908" s="157"/>
    </row>
    <row r="909">
      <c r="B909" s="8"/>
      <c r="C909" s="8"/>
      <c r="D909" s="8"/>
      <c r="E909" s="8"/>
      <c r="F909" s="129"/>
      <c r="G909" s="8"/>
      <c r="L909" s="157"/>
    </row>
    <row r="910">
      <c r="B910" s="8"/>
      <c r="C910" s="8"/>
      <c r="D910" s="8"/>
      <c r="E910" s="8"/>
      <c r="F910" s="129"/>
      <c r="G910" s="8"/>
      <c r="L910" s="157"/>
    </row>
    <row r="911">
      <c r="B911" s="8"/>
      <c r="C911" s="8"/>
      <c r="D911" s="8"/>
      <c r="E911" s="8"/>
      <c r="F911" s="129"/>
      <c r="G911" s="8"/>
      <c r="L911" s="157"/>
    </row>
    <row r="912">
      <c r="B912" s="8"/>
      <c r="C912" s="8"/>
      <c r="D912" s="8"/>
      <c r="E912" s="8"/>
      <c r="F912" s="129"/>
      <c r="G912" s="8"/>
      <c r="L912" s="157"/>
    </row>
    <row r="913">
      <c r="B913" s="8"/>
      <c r="C913" s="8"/>
      <c r="D913" s="8"/>
      <c r="E913" s="8"/>
      <c r="F913" s="129"/>
      <c r="G913" s="8"/>
      <c r="L913" s="157"/>
    </row>
    <row r="914">
      <c r="B914" s="8"/>
      <c r="C914" s="8"/>
      <c r="D914" s="8"/>
      <c r="E914" s="8"/>
      <c r="F914" s="129"/>
      <c r="G914" s="8"/>
      <c r="L914" s="157"/>
    </row>
    <row r="915">
      <c r="B915" s="8"/>
      <c r="C915" s="8"/>
      <c r="D915" s="8"/>
      <c r="E915" s="8"/>
      <c r="F915" s="129"/>
      <c r="G915" s="8"/>
      <c r="L915" s="157"/>
    </row>
    <row r="916">
      <c r="B916" s="8"/>
      <c r="C916" s="8"/>
      <c r="D916" s="8"/>
      <c r="E916" s="8"/>
      <c r="F916" s="129"/>
      <c r="G916" s="8"/>
      <c r="L916" s="157"/>
    </row>
    <row r="917">
      <c r="B917" s="8"/>
      <c r="C917" s="8"/>
      <c r="D917" s="8"/>
      <c r="E917" s="8"/>
      <c r="F917" s="129"/>
      <c r="G917" s="8"/>
      <c r="L917" s="157"/>
    </row>
    <row r="918">
      <c r="B918" s="8"/>
      <c r="C918" s="8"/>
      <c r="D918" s="8"/>
      <c r="E918" s="8"/>
      <c r="F918" s="129"/>
      <c r="G918" s="8"/>
      <c r="L918" s="157"/>
    </row>
    <row r="919">
      <c r="B919" s="8"/>
      <c r="C919" s="8"/>
      <c r="D919" s="8"/>
      <c r="E919" s="8"/>
      <c r="F919" s="129"/>
      <c r="G919" s="8"/>
      <c r="L919" s="157"/>
    </row>
    <row r="920">
      <c r="B920" s="8"/>
      <c r="C920" s="8"/>
      <c r="D920" s="8"/>
      <c r="E920" s="8"/>
      <c r="F920" s="129"/>
      <c r="G920" s="8"/>
      <c r="L920" s="157"/>
    </row>
    <row r="921">
      <c r="B921" s="8"/>
      <c r="C921" s="8"/>
      <c r="D921" s="8"/>
      <c r="E921" s="8"/>
      <c r="F921" s="129"/>
      <c r="G921" s="8"/>
      <c r="L921" s="157"/>
    </row>
    <row r="922">
      <c r="B922" s="8"/>
      <c r="C922" s="8"/>
      <c r="D922" s="8"/>
      <c r="E922" s="8"/>
      <c r="F922" s="129"/>
      <c r="G922" s="8"/>
      <c r="L922" s="157"/>
    </row>
    <row r="923">
      <c r="B923" s="8"/>
      <c r="C923" s="8"/>
      <c r="D923" s="8"/>
      <c r="E923" s="8"/>
      <c r="F923" s="129"/>
      <c r="G923" s="8"/>
      <c r="L923" s="157"/>
    </row>
    <row r="924">
      <c r="B924" s="8"/>
      <c r="C924" s="8"/>
      <c r="D924" s="8"/>
      <c r="E924" s="8"/>
      <c r="F924" s="129"/>
      <c r="G924" s="8"/>
      <c r="L924" s="157"/>
    </row>
    <row r="925">
      <c r="B925" s="8"/>
      <c r="C925" s="8"/>
      <c r="D925" s="8"/>
      <c r="E925" s="8"/>
      <c r="F925" s="129"/>
      <c r="G925" s="8"/>
      <c r="L925" s="157"/>
    </row>
    <row r="926">
      <c r="B926" s="8"/>
      <c r="C926" s="8"/>
      <c r="D926" s="8"/>
      <c r="E926" s="8"/>
      <c r="F926" s="129"/>
      <c r="G926" s="8"/>
      <c r="L926" s="157"/>
    </row>
    <row r="927">
      <c r="B927" s="8"/>
      <c r="C927" s="8"/>
      <c r="D927" s="8"/>
      <c r="E927" s="8"/>
      <c r="F927" s="129"/>
      <c r="G927" s="8"/>
      <c r="L927" s="157"/>
    </row>
    <row r="928">
      <c r="B928" s="8"/>
      <c r="C928" s="8"/>
      <c r="D928" s="8"/>
      <c r="E928" s="8"/>
      <c r="F928" s="129"/>
      <c r="G928" s="8"/>
      <c r="L928" s="157"/>
    </row>
    <row r="929">
      <c r="B929" s="8"/>
      <c r="C929" s="8"/>
      <c r="D929" s="8"/>
      <c r="E929" s="8"/>
      <c r="F929" s="129"/>
      <c r="G929" s="8"/>
      <c r="L929" s="157"/>
    </row>
    <row r="930">
      <c r="B930" s="8"/>
      <c r="C930" s="8"/>
      <c r="D930" s="8"/>
      <c r="E930" s="8"/>
      <c r="F930" s="129"/>
      <c r="G930" s="8"/>
      <c r="L930" s="157"/>
    </row>
    <row r="931">
      <c r="B931" s="8"/>
      <c r="C931" s="8"/>
      <c r="D931" s="8"/>
      <c r="E931" s="8"/>
      <c r="F931" s="129"/>
      <c r="G931" s="8"/>
      <c r="L931" s="157"/>
    </row>
    <row r="932">
      <c r="B932" s="8"/>
      <c r="C932" s="8"/>
      <c r="D932" s="8"/>
      <c r="E932" s="8"/>
      <c r="F932" s="129"/>
      <c r="G932" s="8"/>
      <c r="L932" s="157"/>
    </row>
    <row r="933">
      <c r="B933" s="8"/>
      <c r="C933" s="8"/>
      <c r="D933" s="8"/>
      <c r="E933" s="8"/>
      <c r="F933" s="129"/>
      <c r="G933" s="8"/>
      <c r="L933" s="157"/>
    </row>
    <row r="934">
      <c r="B934" s="8"/>
      <c r="C934" s="8"/>
      <c r="D934" s="8"/>
      <c r="E934" s="8"/>
      <c r="F934" s="129"/>
      <c r="G934" s="8"/>
      <c r="L934" s="157"/>
    </row>
    <row r="935">
      <c r="B935" s="8"/>
      <c r="C935" s="8"/>
      <c r="D935" s="8"/>
      <c r="E935" s="8"/>
      <c r="F935" s="129"/>
      <c r="G935" s="8"/>
      <c r="L935" s="157"/>
    </row>
    <row r="936">
      <c r="B936" s="8"/>
      <c r="C936" s="8"/>
      <c r="D936" s="8"/>
      <c r="E936" s="8"/>
      <c r="F936" s="129"/>
      <c r="G936" s="8"/>
      <c r="L936" s="157"/>
    </row>
    <row r="937">
      <c r="B937" s="8"/>
      <c r="C937" s="8"/>
      <c r="D937" s="8"/>
      <c r="E937" s="8"/>
      <c r="F937" s="129"/>
      <c r="G937" s="8"/>
      <c r="L937" s="157"/>
    </row>
    <row r="938">
      <c r="B938" s="8"/>
      <c r="C938" s="8"/>
      <c r="D938" s="8"/>
      <c r="E938" s="8"/>
      <c r="F938" s="129"/>
      <c r="G938" s="8"/>
      <c r="L938" s="157"/>
    </row>
    <row r="939">
      <c r="B939" s="8"/>
      <c r="C939" s="8"/>
      <c r="D939" s="8"/>
      <c r="E939" s="8"/>
      <c r="F939" s="129"/>
      <c r="G939" s="8"/>
      <c r="L939" s="157"/>
    </row>
    <row r="940">
      <c r="B940" s="8"/>
      <c r="C940" s="8"/>
      <c r="D940" s="8"/>
      <c r="E940" s="8"/>
      <c r="F940" s="129"/>
      <c r="G940" s="8"/>
      <c r="L940" s="157"/>
    </row>
    <row r="941">
      <c r="B941" s="8"/>
      <c r="C941" s="8"/>
      <c r="D941" s="8"/>
      <c r="E941" s="8"/>
      <c r="F941" s="129"/>
      <c r="G941" s="8"/>
      <c r="L941" s="157"/>
    </row>
    <row r="942">
      <c r="B942" s="8"/>
      <c r="C942" s="8"/>
      <c r="D942" s="8"/>
      <c r="E942" s="8"/>
      <c r="F942" s="129"/>
      <c r="G942" s="8"/>
      <c r="L942" s="157"/>
    </row>
    <row r="943">
      <c r="B943" s="8"/>
      <c r="C943" s="8"/>
      <c r="D943" s="8"/>
      <c r="E943" s="8"/>
      <c r="F943" s="129"/>
      <c r="G943" s="8"/>
      <c r="L943" s="157"/>
    </row>
    <row r="944">
      <c r="B944" s="8"/>
      <c r="C944" s="8"/>
      <c r="D944" s="8"/>
      <c r="E944" s="8"/>
      <c r="F944" s="129"/>
      <c r="G944" s="8"/>
      <c r="L944" s="157"/>
    </row>
    <row r="945">
      <c r="B945" s="8"/>
      <c r="C945" s="8"/>
      <c r="D945" s="8"/>
      <c r="E945" s="8"/>
      <c r="F945" s="129"/>
      <c r="G945" s="8"/>
      <c r="L945" s="157"/>
    </row>
    <row r="946">
      <c r="B946" s="8"/>
      <c r="C946" s="8"/>
      <c r="D946" s="8"/>
      <c r="E946" s="8"/>
      <c r="F946" s="129"/>
      <c r="G946" s="8"/>
      <c r="L946" s="157"/>
    </row>
    <row r="947">
      <c r="B947" s="8"/>
      <c r="C947" s="8"/>
      <c r="D947" s="8"/>
      <c r="E947" s="8"/>
      <c r="F947" s="129"/>
      <c r="G947" s="8"/>
      <c r="L947" s="157"/>
    </row>
    <row r="948">
      <c r="B948" s="8"/>
      <c r="C948" s="8"/>
      <c r="D948" s="8"/>
      <c r="E948" s="8"/>
      <c r="F948" s="129"/>
      <c r="G948" s="8"/>
      <c r="L948" s="157"/>
    </row>
    <row r="949">
      <c r="B949" s="8"/>
      <c r="C949" s="8"/>
      <c r="D949" s="8"/>
      <c r="E949" s="8"/>
      <c r="F949" s="129"/>
      <c r="G949" s="8"/>
      <c r="L949" s="157"/>
    </row>
    <row r="950">
      <c r="B950" s="8"/>
      <c r="C950" s="8"/>
      <c r="D950" s="8"/>
      <c r="E950" s="8"/>
      <c r="F950" s="129"/>
      <c r="G950" s="8"/>
      <c r="L950" s="157"/>
    </row>
    <row r="951">
      <c r="B951" s="8"/>
      <c r="C951" s="8"/>
      <c r="D951" s="8"/>
      <c r="E951" s="8"/>
      <c r="F951" s="129"/>
      <c r="G951" s="8"/>
      <c r="L951" s="157"/>
    </row>
    <row r="952">
      <c r="B952" s="8"/>
      <c r="C952" s="8"/>
      <c r="D952" s="8"/>
      <c r="E952" s="8"/>
      <c r="F952" s="129"/>
      <c r="G952" s="8"/>
      <c r="L952" s="157"/>
    </row>
    <row r="953">
      <c r="B953" s="8"/>
      <c r="C953" s="8"/>
      <c r="D953" s="8"/>
      <c r="E953" s="8"/>
      <c r="F953" s="129"/>
      <c r="G953" s="8"/>
      <c r="L953" s="157"/>
    </row>
    <row r="954">
      <c r="B954" s="8"/>
      <c r="C954" s="8"/>
      <c r="D954" s="8"/>
      <c r="E954" s="8"/>
      <c r="F954" s="129"/>
      <c r="G954" s="8"/>
      <c r="L954" s="157"/>
    </row>
    <row r="955">
      <c r="B955" s="8"/>
      <c r="C955" s="8"/>
      <c r="D955" s="8"/>
      <c r="E955" s="8"/>
      <c r="F955" s="129"/>
      <c r="G955" s="8"/>
      <c r="L955" s="157"/>
    </row>
    <row r="956">
      <c r="B956" s="8"/>
      <c r="C956" s="8"/>
      <c r="D956" s="8"/>
      <c r="E956" s="8"/>
      <c r="F956" s="129"/>
      <c r="G956" s="8"/>
      <c r="L956" s="157"/>
    </row>
    <row r="957">
      <c r="B957" s="8"/>
      <c r="C957" s="8"/>
      <c r="D957" s="8"/>
      <c r="E957" s="8"/>
      <c r="F957" s="129"/>
      <c r="G957" s="8"/>
      <c r="L957" s="157"/>
    </row>
    <row r="958">
      <c r="B958" s="8"/>
      <c r="C958" s="8"/>
      <c r="D958" s="8"/>
      <c r="E958" s="8"/>
      <c r="F958" s="129"/>
      <c r="G958" s="8"/>
      <c r="L958" s="157"/>
    </row>
    <row r="959">
      <c r="B959" s="8"/>
      <c r="C959" s="8"/>
      <c r="D959" s="8"/>
      <c r="E959" s="8"/>
      <c r="F959" s="129"/>
      <c r="G959" s="8"/>
      <c r="L959" s="157"/>
    </row>
    <row r="960">
      <c r="B960" s="8"/>
      <c r="C960" s="8"/>
      <c r="D960" s="8"/>
      <c r="E960" s="8"/>
      <c r="F960" s="129"/>
      <c r="G960" s="8"/>
      <c r="L960" s="157"/>
    </row>
    <row r="961">
      <c r="B961" s="8"/>
      <c r="C961" s="8"/>
      <c r="D961" s="8"/>
      <c r="E961" s="8"/>
      <c r="F961" s="129"/>
      <c r="G961" s="8"/>
      <c r="L961" s="157"/>
    </row>
    <row r="962">
      <c r="B962" s="8"/>
      <c r="C962" s="8"/>
      <c r="D962" s="8"/>
      <c r="E962" s="8"/>
      <c r="F962" s="129"/>
      <c r="G962" s="8"/>
      <c r="L962" s="157"/>
    </row>
    <row r="963">
      <c r="B963" s="8"/>
      <c r="C963" s="8"/>
      <c r="D963" s="8"/>
      <c r="E963" s="8"/>
      <c r="F963" s="129"/>
      <c r="G963" s="8"/>
      <c r="L963" s="157"/>
    </row>
    <row r="964">
      <c r="B964" s="8"/>
      <c r="C964" s="8"/>
      <c r="D964" s="8"/>
      <c r="E964" s="8"/>
      <c r="F964" s="129"/>
      <c r="G964" s="8"/>
      <c r="L964" s="157"/>
    </row>
    <row r="965">
      <c r="B965" s="8"/>
      <c r="C965" s="8"/>
      <c r="D965" s="8"/>
      <c r="E965" s="8"/>
      <c r="F965" s="129"/>
      <c r="G965" s="8"/>
      <c r="L965" s="157"/>
    </row>
    <row r="966">
      <c r="B966" s="8"/>
      <c r="C966" s="8"/>
      <c r="D966" s="8"/>
      <c r="E966" s="8"/>
      <c r="F966" s="129"/>
      <c r="G966" s="8"/>
      <c r="L966" s="157"/>
    </row>
    <row r="967">
      <c r="B967" s="8"/>
      <c r="C967" s="8"/>
      <c r="D967" s="8"/>
      <c r="E967" s="8"/>
      <c r="F967" s="129"/>
      <c r="G967" s="8"/>
      <c r="L967" s="157"/>
    </row>
    <row r="968">
      <c r="B968" s="8"/>
      <c r="C968" s="8"/>
      <c r="D968" s="8"/>
      <c r="E968" s="8"/>
      <c r="F968" s="129"/>
      <c r="G968" s="8"/>
      <c r="L968" s="157"/>
    </row>
    <row r="969">
      <c r="B969" s="8"/>
      <c r="C969" s="8"/>
      <c r="D969" s="8"/>
      <c r="E969" s="8"/>
      <c r="F969" s="129"/>
      <c r="G969" s="8"/>
      <c r="L969" s="157"/>
    </row>
    <row r="970">
      <c r="B970" s="8"/>
      <c r="C970" s="8"/>
      <c r="D970" s="8"/>
      <c r="E970" s="8"/>
      <c r="F970" s="129"/>
      <c r="G970" s="8"/>
      <c r="L970" s="157"/>
    </row>
    <row r="971">
      <c r="B971" s="8"/>
      <c r="C971" s="8"/>
      <c r="D971" s="8"/>
      <c r="E971" s="8"/>
      <c r="F971" s="129"/>
      <c r="G971" s="8"/>
      <c r="L971" s="157"/>
    </row>
    <row r="972">
      <c r="B972" s="8"/>
      <c r="C972" s="8"/>
      <c r="D972" s="8"/>
      <c r="E972" s="8"/>
      <c r="F972" s="129"/>
      <c r="G972" s="8"/>
      <c r="L972" s="157"/>
    </row>
    <row r="973">
      <c r="B973" s="8"/>
      <c r="C973" s="8"/>
      <c r="D973" s="8"/>
      <c r="E973" s="8"/>
      <c r="F973" s="129"/>
      <c r="G973" s="8"/>
      <c r="L973" s="157"/>
    </row>
    <row r="974">
      <c r="B974" s="8"/>
      <c r="C974" s="8"/>
      <c r="D974" s="8"/>
      <c r="E974" s="8"/>
      <c r="F974" s="129"/>
      <c r="G974" s="8"/>
      <c r="L974" s="157"/>
    </row>
    <row r="975">
      <c r="B975" s="8"/>
      <c r="C975" s="8"/>
      <c r="D975" s="8"/>
      <c r="E975" s="8"/>
      <c r="F975" s="129"/>
      <c r="G975" s="8"/>
      <c r="L975" s="157"/>
    </row>
    <row r="976">
      <c r="B976" s="8"/>
      <c r="C976" s="8"/>
      <c r="D976" s="8"/>
      <c r="E976" s="8"/>
      <c r="F976" s="129"/>
      <c r="G976" s="8"/>
      <c r="L976" s="157"/>
    </row>
    <row r="977">
      <c r="B977" s="8"/>
      <c r="C977" s="8"/>
      <c r="D977" s="8"/>
      <c r="E977" s="8"/>
      <c r="F977" s="129"/>
      <c r="G977" s="8"/>
      <c r="L977" s="157"/>
    </row>
    <row r="978">
      <c r="B978" s="8"/>
      <c r="C978" s="8"/>
      <c r="D978" s="8"/>
      <c r="E978" s="8"/>
      <c r="F978" s="129"/>
      <c r="G978" s="8"/>
      <c r="L978" s="157"/>
    </row>
    <row r="979">
      <c r="B979" s="8"/>
      <c r="C979" s="8"/>
      <c r="D979" s="8"/>
      <c r="E979" s="8"/>
      <c r="F979" s="129"/>
      <c r="G979" s="8"/>
      <c r="L979" s="157"/>
    </row>
    <row r="980">
      <c r="B980" s="8"/>
      <c r="C980" s="8"/>
      <c r="D980" s="8"/>
      <c r="E980" s="8"/>
      <c r="F980" s="129"/>
      <c r="G980" s="8"/>
      <c r="L980" s="157"/>
    </row>
    <row r="981">
      <c r="B981" s="8"/>
      <c r="C981" s="8"/>
      <c r="D981" s="8"/>
      <c r="E981" s="8"/>
      <c r="F981" s="129"/>
      <c r="G981" s="8"/>
      <c r="L981" s="157"/>
    </row>
    <row r="982">
      <c r="B982" s="8"/>
      <c r="C982" s="8"/>
      <c r="D982" s="8"/>
      <c r="E982" s="8"/>
      <c r="F982" s="129"/>
      <c r="G982" s="8"/>
      <c r="L982" s="157"/>
    </row>
    <row r="983">
      <c r="B983" s="8"/>
      <c r="C983" s="8"/>
      <c r="D983" s="8"/>
      <c r="E983" s="8"/>
      <c r="F983" s="129"/>
      <c r="G983" s="8"/>
      <c r="L983" s="157"/>
    </row>
    <row r="984">
      <c r="B984" s="8"/>
      <c r="C984" s="8"/>
      <c r="D984" s="8"/>
      <c r="E984" s="8"/>
      <c r="F984" s="129"/>
      <c r="G984" s="8"/>
      <c r="L984" s="157"/>
    </row>
    <row r="985">
      <c r="B985" s="8"/>
      <c r="C985" s="8"/>
      <c r="D985" s="8"/>
      <c r="E985" s="8"/>
      <c r="F985" s="129"/>
      <c r="G985" s="8"/>
      <c r="L985" s="157"/>
    </row>
    <row r="986">
      <c r="B986" s="8"/>
      <c r="C986" s="8"/>
      <c r="D986" s="8"/>
      <c r="E986" s="8"/>
      <c r="F986" s="129"/>
      <c r="G986" s="8"/>
      <c r="L986" s="157"/>
    </row>
    <row r="987">
      <c r="B987" s="8"/>
      <c r="C987" s="8"/>
      <c r="D987" s="8"/>
      <c r="E987" s="8"/>
      <c r="F987" s="129"/>
      <c r="G987" s="8"/>
      <c r="L987" s="157"/>
    </row>
    <row r="988">
      <c r="B988" s="8"/>
      <c r="C988" s="8"/>
      <c r="D988" s="8"/>
      <c r="E988" s="8"/>
      <c r="F988" s="129"/>
      <c r="G988" s="8"/>
      <c r="L988" s="157"/>
    </row>
    <row r="989">
      <c r="B989" s="8"/>
      <c r="C989" s="8"/>
      <c r="D989" s="8"/>
      <c r="E989" s="8"/>
      <c r="F989" s="129"/>
      <c r="G989" s="8"/>
      <c r="L989" s="157"/>
    </row>
    <row r="990">
      <c r="B990" s="8"/>
      <c r="C990" s="8"/>
      <c r="D990" s="8"/>
      <c r="E990" s="8"/>
      <c r="F990" s="129"/>
      <c r="G990" s="8"/>
      <c r="L990" s="157"/>
    </row>
    <row r="991">
      <c r="B991" s="8"/>
      <c r="C991" s="8"/>
      <c r="D991" s="8"/>
      <c r="E991" s="8"/>
      <c r="F991" s="129"/>
      <c r="G991" s="8"/>
      <c r="L991" s="157"/>
    </row>
    <row r="992">
      <c r="B992" s="8"/>
      <c r="C992" s="8"/>
      <c r="D992" s="8"/>
      <c r="E992" s="8"/>
      <c r="F992" s="129"/>
      <c r="G992" s="8"/>
      <c r="L992" s="157"/>
    </row>
    <row r="993">
      <c r="B993" s="8"/>
      <c r="C993" s="8"/>
      <c r="D993" s="8"/>
      <c r="E993" s="8"/>
      <c r="F993" s="129"/>
      <c r="G993" s="8"/>
      <c r="L993" s="157"/>
    </row>
    <row r="994">
      <c r="B994" s="8"/>
      <c r="C994" s="8"/>
      <c r="D994" s="8"/>
      <c r="E994" s="8"/>
      <c r="F994" s="129"/>
      <c r="G994" s="8"/>
      <c r="L994" s="157"/>
    </row>
    <row r="995">
      <c r="B995" s="8"/>
      <c r="C995" s="8"/>
      <c r="D995" s="8"/>
      <c r="E995" s="8"/>
      <c r="F995" s="129"/>
      <c r="G995" s="8"/>
      <c r="L995" s="157"/>
    </row>
    <row r="996">
      <c r="B996" s="8"/>
      <c r="C996" s="8"/>
      <c r="D996" s="8"/>
      <c r="E996" s="8"/>
      <c r="F996" s="129"/>
      <c r="G996" s="8"/>
      <c r="L996" s="157"/>
    </row>
    <row r="997">
      <c r="B997" s="8"/>
      <c r="C997" s="8"/>
      <c r="D997" s="8"/>
      <c r="E997" s="8"/>
      <c r="F997" s="129"/>
      <c r="G997" s="8"/>
      <c r="L997" s="157"/>
    </row>
    <row r="998">
      <c r="B998" s="8"/>
      <c r="C998" s="8"/>
      <c r="D998" s="8"/>
      <c r="E998" s="8"/>
      <c r="F998" s="129"/>
      <c r="G998" s="8"/>
      <c r="L998" s="157"/>
    </row>
    <row r="999">
      <c r="B999" s="8"/>
      <c r="C999" s="8"/>
      <c r="D999" s="8"/>
      <c r="E999" s="8"/>
      <c r="F999" s="129"/>
      <c r="G999" s="8"/>
      <c r="L999" s="157"/>
    </row>
    <row r="1000">
      <c r="B1000" s="8"/>
      <c r="C1000" s="8"/>
      <c r="D1000" s="8"/>
      <c r="E1000" s="8"/>
      <c r="F1000" s="129"/>
      <c r="G1000" s="8"/>
      <c r="L1000" s="157"/>
    </row>
    <row r="1001">
      <c r="B1001" s="8"/>
      <c r="C1001" s="8"/>
      <c r="D1001" s="8"/>
      <c r="E1001" s="8"/>
      <c r="F1001" s="129"/>
      <c r="G1001" s="8"/>
      <c r="L1001" s="157"/>
    </row>
    <row r="1002">
      <c r="B1002" s="8"/>
      <c r="C1002" s="8"/>
      <c r="D1002" s="8"/>
      <c r="E1002" s="8"/>
      <c r="F1002" s="129"/>
      <c r="G1002" s="8"/>
      <c r="L1002" s="157"/>
    </row>
    <row r="1003">
      <c r="B1003" s="8"/>
      <c r="C1003" s="8"/>
      <c r="D1003" s="8"/>
      <c r="E1003" s="8"/>
      <c r="F1003" s="129"/>
      <c r="G1003" s="8"/>
      <c r="L1003" s="157"/>
    </row>
    <row r="1004">
      <c r="B1004" s="8"/>
      <c r="C1004" s="8"/>
      <c r="D1004" s="8"/>
      <c r="E1004" s="8"/>
      <c r="F1004" s="129"/>
      <c r="G1004" s="8"/>
      <c r="L1004" s="157"/>
    </row>
    <row r="1005">
      <c r="B1005" s="8"/>
      <c r="C1005" s="8"/>
      <c r="D1005" s="8"/>
      <c r="E1005" s="8"/>
      <c r="F1005" s="129"/>
      <c r="G1005" s="8"/>
      <c r="L1005" s="157"/>
    </row>
    <row r="1006">
      <c r="B1006" s="8"/>
      <c r="C1006" s="8"/>
      <c r="D1006" s="8"/>
      <c r="E1006" s="8"/>
      <c r="F1006" s="129"/>
      <c r="G1006" s="8"/>
      <c r="L1006" s="157"/>
    </row>
    <row r="1007">
      <c r="B1007" s="8"/>
      <c r="C1007" s="8"/>
      <c r="D1007" s="8"/>
      <c r="E1007" s="8"/>
      <c r="F1007" s="129"/>
      <c r="G1007" s="8"/>
      <c r="L1007" s="157"/>
    </row>
    <row r="1008">
      <c r="B1008" s="8"/>
      <c r="C1008" s="8"/>
      <c r="D1008" s="8"/>
      <c r="E1008" s="8"/>
      <c r="F1008" s="129"/>
      <c r="G1008" s="8"/>
      <c r="L1008" s="157"/>
    </row>
    <row r="1009">
      <c r="B1009" s="8"/>
      <c r="C1009" s="8"/>
      <c r="D1009" s="8"/>
      <c r="E1009" s="8"/>
      <c r="F1009" s="129"/>
      <c r="G1009" s="8"/>
      <c r="L1009" s="157"/>
    </row>
    <row r="1010">
      <c r="B1010" s="8"/>
      <c r="C1010" s="8"/>
      <c r="D1010" s="8"/>
      <c r="E1010" s="8"/>
      <c r="F1010" s="129"/>
      <c r="G1010" s="8"/>
      <c r="L1010" s="157"/>
    </row>
    <row r="1011">
      <c r="B1011" s="8"/>
      <c r="C1011" s="8"/>
      <c r="D1011" s="8"/>
      <c r="E1011" s="8"/>
      <c r="F1011" s="129"/>
      <c r="G1011" s="8"/>
      <c r="L1011" s="157"/>
    </row>
    <row r="1012">
      <c r="B1012" s="8"/>
      <c r="C1012" s="8"/>
      <c r="D1012" s="8"/>
      <c r="E1012" s="8"/>
      <c r="F1012" s="129"/>
      <c r="G1012" s="8"/>
      <c r="L1012" s="157"/>
    </row>
    <row r="1013">
      <c r="B1013" s="8"/>
      <c r="C1013" s="8"/>
      <c r="D1013" s="8"/>
      <c r="E1013" s="8"/>
      <c r="F1013" s="129"/>
      <c r="G1013" s="8"/>
      <c r="L1013" s="157"/>
    </row>
    <row r="1014">
      <c r="B1014" s="8"/>
      <c r="C1014" s="8"/>
      <c r="D1014" s="8"/>
      <c r="E1014" s="8"/>
      <c r="F1014" s="129"/>
      <c r="G1014" s="8"/>
      <c r="L1014" s="157"/>
    </row>
    <row r="1015">
      <c r="B1015" s="8"/>
      <c r="C1015" s="8"/>
      <c r="D1015" s="8"/>
      <c r="E1015" s="8"/>
      <c r="F1015" s="129"/>
      <c r="G1015" s="8"/>
      <c r="L1015" s="157"/>
    </row>
    <row r="1016">
      <c r="B1016" s="8"/>
      <c r="C1016" s="8"/>
      <c r="D1016" s="8"/>
      <c r="E1016" s="8"/>
      <c r="F1016" s="129"/>
      <c r="G1016" s="8"/>
      <c r="L1016" s="157"/>
    </row>
    <row r="1017">
      <c r="B1017" s="8"/>
      <c r="C1017" s="8"/>
      <c r="D1017" s="8"/>
      <c r="E1017" s="8"/>
      <c r="F1017" s="129"/>
      <c r="G1017" s="8"/>
      <c r="L1017" s="157"/>
    </row>
    <row r="1018">
      <c r="B1018" s="8"/>
      <c r="C1018" s="8"/>
      <c r="D1018" s="8"/>
      <c r="E1018" s="8"/>
      <c r="F1018" s="129"/>
      <c r="G1018" s="8"/>
      <c r="L1018" s="157"/>
    </row>
    <row r="1019">
      <c r="B1019" s="8"/>
      <c r="C1019" s="8"/>
      <c r="D1019" s="8"/>
      <c r="E1019" s="8"/>
      <c r="F1019" s="129"/>
      <c r="G1019" s="8"/>
      <c r="L1019" s="157"/>
    </row>
    <row r="1020">
      <c r="B1020" s="8"/>
      <c r="C1020" s="8"/>
      <c r="D1020" s="8"/>
      <c r="E1020" s="8"/>
      <c r="F1020" s="129"/>
      <c r="G1020" s="8"/>
      <c r="L1020" s="157"/>
    </row>
    <row r="1021">
      <c r="B1021" s="8"/>
      <c r="C1021" s="8"/>
      <c r="D1021" s="8"/>
      <c r="E1021" s="8"/>
      <c r="F1021" s="129"/>
      <c r="G1021" s="8"/>
      <c r="L1021" s="157"/>
    </row>
    <row r="1022">
      <c r="B1022" s="8"/>
      <c r="C1022" s="8"/>
      <c r="D1022" s="8"/>
      <c r="E1022" s="8"/>
      <c r="F1022" s="129"/>
      <c r="G1022" s="8"/>
      <c r="L1022" s="157"/>
    </row>
    <row r="1023">
      <c r="B1023" s="8"/>
      <c r="C1023" s="8"/>
      <c r="D1023" s="8"/>
      <c r="E1023" s="8"/>
      <c r="F1023" s="129"/>
      <c r="G1023" s="8"/>
      <c r="L1023" s="157"/>
    </row>
    <row r="1024">
      <c r="B1024" s="8"/>
      <c r="C1024" s="8"/>
      <c r="D1024" s="8"/>
      <c r="E1024" s="8"/>
      <c r="F1024" s="129"/>
      <c r="G1024" s="8"/>
      <c r="L1024" s="157"/>
    </row>
  </sheetData>
  <mergeCells count="217">
    <mergeCell ref="G7:H7"/>
    <mergeCell ref="G8:H8"/>
    <mergeCell ref="B2:K3"/>
    <mergeCell ref="B5:E5"/>
    <mergeCell ref="G5:H5"/>
    <mergeCell ref="C6:D6"/>
    <mergeCell ref="G6:H6"/>
    <mergeCell ref="C7:D7"/>
    <mergeCell ref="C8:D8"/>
    <mergeCell ref="C12:D12"/>
    <mergeCell ref="C13:D13"/>
    <mergeCell ref="C14:D14"/>
    <mergeCell ref="C15:D15"/>
    <mergeCell ref="C16:D16"/>
    <mergeCell ref="B17:B18"/>
    <mergeCell ref="C17:D17"/>
    <mergeCell ref="C18:D18"/>
    <mergeCell ref="C9:D9"/>
    <mergeCell ref="G9:H9"/>
    <mergeCell ref="C10:D10"/>
    <mergeCell ref="G10:H10"/>
    <mergeCell ref="C11:D11"/>
    <mergeCell ref="G11:H11"/>
    <mergeCell ref="G12:H12"/>
    <mergeCell ref="G13:H13"/>
    <mergeCell ref="G14:H14"/>
    <mergeCell ref="G15:H15"/>
    <mergeCell ref="G16:H16"/>
    <mergeCell ref="G17:H17"/>
    <mergeCell ref="G18:H18"/>
    <mergeCell ref="B20:K21"/>
    <mergeCell ref="G28:H28"/>
    <mergeCell ref="G29:H29"/>
    <mergeCell ref="B23:K24"/>
    <mergeCell ref="B26:E26"/>
    <mergeCell ref="G26:H26"/>
    <mergeCell ref="C27:D27"/>
    <mergeCell ref="G27:H27"/>
    <mergeCell ref="C28:D28"/>
    <mergeCell ref="C29:D29"/>
    <mergeCell ref="C55:D55"/>
    <mergeCell ref="C56:D56"/>
    <mergeCell ref="C57:D57"/>
    <mergeCell ref="C58:D58"/>
    <mergeCell ref="C59:D59"/>
    <mergeCell ref="B60:B61"/>
    <mergeCell ref="C60:D60"/>
    <mergeCell ref="C61:D61"/>
    <mergeCell ref="G56:H56"/>
    <mergeCell ref="G57:H57"/>
    <mergeCell ref="G58:H58"/>
    <mergeCell ref="G59:H59"/>
    <mergeCell ref="G60:H60"/>
    <mergeCell ref="G61:H61"/>
    <mergeCell ref="B63:K65"/>
    <mergeCell ref="G72:H72"/>
    <mergeCell ref="G73:H73"/>
    <mergeCell ref="B67:K68"/>
    <mergeCell ref="B70:E70"/>
    <mergeCell ref="G70:H70"/>
    <mergeCell ref="C71:D71"/>
    <mergeCell ref="G71:H71"/>
    <mergeCell ref="C72:D72"/>
    <mergeCell ref="C73:D73"/>
    <mergeCell ref="C33:D33"/>
    <mergeCell ref="C34:D34"/>
    <mergeCell ref="C35:D35"/>
    <mergeCell ref="C36:D36"/>
    <mergeCell ref="C37:D37"/>
    <mergeCell ref="B38:B39"/>
    <mergeCell ref="C38:D38"/>
    <mergeCell ref="C39:D39"/>
    <mergeCell ref="C30:D30"/>
    <mergeCell ref="G30:H30"/>
    <mergeCell ref="C31:D31"/>
    <mergeCell ref="G31:H31"/>
    <mergeCell ref="C32:D32"/>
    <mergeCell ref="G32:H32"/>
    <mergeCell ref="G33:H33"/>
    <mergeCell ref="G34:H34"/>
    <mergeCell ref="G35:H35"/>
    <mergeCell ref="G36:H36"/>
    <mergeCell ref="G37:H37"/>
    <mergeCell ref="G38:H38"/>
    <mergeCell ref="G39:H39"/>
    <mergeCell ref="B41:K42"/>
    <mergeCell ref="G50:H50"/>
    <mergeCell ref="G51:H51"/>
    <mergeCell ref="B45:K46"/>
    <mergeCell ref="B48:E48"/>
    <mergeCell ref="G48:H48"/>
    <mergeCell ref="C49:D49"/>
    <mergeCell ref="G49:H49"/>
    <mergeCell ref="C50:D50"/>
    <mergeCell ref="C51:D51"/>
    <mergeCell ref="C52:D52"/>
    <mergeCell ref="G52:H52"/>
    <mergeCell ref="C53:D53"/>
    <mergeCell ref="G53:H53"/>
    <mergeCell ref="C54:D54"/>
    <mergeCell ref="G54:H54"/>
    <mergeCell ref="G55:H55"/>
    <mergeCell ref="G78:H78"/>
    <mergeCell ref="G79:H79"/>
    <mergeCell ref="C93:D93"/>
    <mergeCell ref="C94:D94"/>
    <mergeCell ref="G94:H94"/>
    <mergeCell ref="C95:D95"/>
    <mergeCell ref="G95:H95"/>
    <mergeCell ref="C96:D96"/>
    <mergeCell ref="C97:D97"/>
    <mergeCell ref="C98:D98"/>
    <mergeCell ref="G98:H98"/>
    <mergeCell ref="C99:D99"/>
    <mergeCell ref="G99:H99"/>
    <mergeCell ref="C100:D100"/>
    <mergeCell ref="G100:H100"/>
    <mergeCell ref="G101:H101"/>
    <mergeCell ref="C74:D74"/>
    <mergeCell ref="G74:H74"/>
    <mergeCell ref="C75:D75"/>
    <mergeCell ref="G75:H75"/>
    <mergeCell ref="C76:D76"/>
    <mergeCell ref="G76:H76"/>
    <mergeCell ref="G77:H77"/>
    <mergeCell ref="C81:D81"/>
    <mergeCell ref="C82:D82"/>
    <mergeCell ref="C77:D77"/>
    <mergeCell ref="C78:D78"/>
    <mergeCell ref="C79:D79"/>
    <mergeCell ref="C80:D80"/>
    <mergeCell ref="G80:H80"/>
    <mergeCell ref="G81:H81"/>
    <mergeCell ref="G82:H82"/>
    <mergeCell ref="G83:H83"/>
    <mergeCell ref="B82:B83"/>
    <mergeCell ref="C83:D83"/>
    <mergeCell ref="B85:K86"/>
    <mergeCell ref="B89:K90"/>
    <mergeCell ref="B92:E92"/>
    <mergeCell ref="G92:H92"/>
    <mergeCell ref="G93:H93"/>
    <mergeCell ref="G96:H96"/>
    <mergeCell ref="G97:H97"/>
    <mergeCell ref="C101:D101"/>
    <mergeCell ref="C102:D102"/>
    <mergeCell ref="C103:D103"/>
    <mergeCell ref="B104:B105"/>
    <mergeCell ref="C104:D104"/>
    <mergeCell ref="C105:D105"/>
    <mergeCell ref="G102:H102"/>
    <mergeCell ref="G103:H103"/>
    <mergeCell ref="G104:H104"/>
    <mergeCell ref="G105:H105"/>
    <mergeCell ref="B107:K108"/>
    <mergeCell ref="B111:K112"/>
    <mergeCell ref="G114:H114"/>
    <mergeCell ref="C146:D146"/>
    <mergeCell ref="C147:D147"/>
    <mergeCell ref="B148:B149"/>
    <mergeCell ref="C148:D148"/>
    <mergeCell ref="C149:D149"/>
    <mergeCell ref="C139:D139"/>
    <mergeCell ref="C140:D140"/>
    <mergeCell ref="C141:D141"/>
    <mergeCell ref="C142:D142"/>
    <mergeCell ref="C143:D143"/>
    <mergeCell ref="C144:D144"/>
    <mergeCell ref="C145:D145"/>
    <mergeCell ref="G117:H117"/>
    <mergeCell ref="G118:H118"/>
    <mergeCell ref="B114:E114"/>
    <mergeCell ref="C115:D115"/>
    <mergeCell ref="G115:H115"/>
    <mergeCell ref="C116:D116"/>
    <mergeCell ref="G116:H116"/>
    <mergeCell ref="C117:D117"/>
    <mergeCell ref="C118:D118"/>
    <mergeCell ref="C122:D122"/>
    <mergeCell ref="C123:D123"/>
    <mergeCell ref="C124:D124"/>
    <mergeCell ref="C125:D125"/>
    <mergeCell ref="B126:B127"/>
    <mergeCell ref="C126:D126"/>
    <mergeCell ref="C127:D127"/>
    <mergeCell ref="C119:D119"/>
    <mergeCell ref="G119:H119"/>
    <mergeCell ref="C120:D120"/>
    <mergeCell ref="G120:H120"/>
    <mergeCell ref="C121:D121"/>
    <mergeCell ref="G121:H121"/>
    <mergeCell ref="G122:H122"/>
    <mergeCell ref="G123:H123"/>
    <mergeCell ref="G124:H124"/>
    <mergeCell ref="G125:H125"/>
    <mergeCell ref="G126:H126"/>
    <mergeCell ref="G127:H127"/>
    <mergeCell ref="B129:K130"/>
    <mergeCell ref="B133:K134"/>
    <mergeCell ref="B136:E136"/>
    <mergeCell ref="G136:H136"/>
    <mergeCell ref="C137:D137"/>
    <mergeCell ref="G137:H137"/>
    <mergeCell ref="C138:D138"/>
    <mergeCell ref="G138:H138"/>
    <mergeCell ref="G139:H139"/>
    <mergeCell ref="G147:H147"/>
    <mergeCell ref="G148:H148"/>
    <mergeCell ref="G149:H149"/>
    <mergeCell ref="B151:K152"/>
    <mergeCell ref="G140:H140"/>
    <mergeCell ref="G141:H141"/>
    <mergeCell ref="G142:H142"/>
    <mergeCell ref="G143:H143"/>
    <mergeCell ref="G144:H144"/>
    <mergeCell ref="G145:H145"/>
    <mergeCell ref="G146:H14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75"/>
    <col customWidth="1" min="2" max="2" width="2.88"/>
    <col customWidth="1" min="3" max="3" width="15.38"/>
    <col customWidth="1" min="4" max="4" width="12.0"/>
    <col customWidth="1" min="6" max="6" width="5.88"/>
    <col customWidth="1" min="8" max="8" width="16.0"/>
    <col customWidth="1" min="12" max="12" width="6.63"/>
    <col customWidth="1" min="13" max="13" width="5.13"/>
    <col customWidth="1" min="15" max="15" width="18.5"/>
    <col customWidth="1" min="17" max="17" width="6.38"/>
    <col customWidth="1" min="19" max="19" width="27.13"/>
  </cols>
  <sheetData>
    <row r="1">
      <c r="B1" s="1"/>
      <c r="C1" s="1"/>
      <c r="D1" s="1"/>
      <c r="E1" s="1"/>
      <c r="F1" s="127"/>
      <c r="G1" s="1"/>
      <c r="L1" s="172"/>
      <c r="Q1" s="128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72"/>
      <c r="M2" s="161" t="s">
        <v>89</v>
      </c>
      <c r="N2" s="3"/>
      <c r="O2" s="3"/>
      <c r="P2" s="3"/>
      <c r="Q2" s="3"/>
      <c r="R2" s="3"/>
      <c r="S2" s="3"/>
      <c r="T2" s="3"/>
      <c r="U2" s="3"/>
      <c r="V2" s="4"/>
    </row>
    <row r="3">
      <c r="B3" s="5"/>
      <c r="C3" s="6"/>
      <c r="D3" s="6"/>
      <c r="E3" s="6"/>
      <c r="F3" s="6"/>
      <c r="G3" s="6"/>
      <c r="H3" s="6"/>
      <c r="I3" s="6"/>
      <c r="J3" s="6"/>
      <c r="K3" s="7"/>
      <c r="L3" s="172"/>
      <c r="M3" s="5"/>
      <c r="N3" s="6"/>
      <c r="O3" s="6"/>
      <c r="P3" s="6"/>
      <c r="Q3" s="6"/>
      <c r="R3" s="6"/>
      <c r="S3" s="6"/>
      <c r="T3" s="6"/>
      <c r="U3" s="6"/>
      <c r="V3" s="7"/>
    </row>
    <row r="4">
      <c r="B4" s="8"/>
      <c r="C4" s="8"/>
      <c r="D4" s="8"/>
      <c r="E4" s="8"/>
      <c r="F4" s="129"/>
      <c r="G4" s="8"/>
      <c r="L4" s="172"/>
      <c r="M4" s="8"/>
      <c r="N4" s="8"/>
      <c r="O4" s="8"/>
      <c r="P4" s="8"/>
      <c r="Q4" s="129"/>
      <c r="R4" s="8"/>
    </row>
    <row r="5">
      <c r="B5" s="9" t="s">
        <v>26</v>
      </c>
      <c r="C5" s="10"/>
      <c r="D5" s="10"/>
      <c r="E5" s="11"/>
      <c r="F5" s="128"/>
      <c r="G5" s="72" t="s">
        <v>90</v>
      </c>
      <c r="H5" s="10"/>
      <c r="I5" s="12" t="s">
        <v>2</v>
      </c>
      <c r="J5" s="13" t="s">
        <v>3</v>
      </c>
      <c r="K5" s="14" t="s">
        <v>4</v>
      </c>
      <c r="L5" s="172"/>
      <c r="M5" s="9" t="s">
        <v>26</v>
      </c>
      <c r="N5" s="10"/>
      <c r="O5" s="10"/>
      <c r="P5" s="11"/>
      <c r="Q5" s="128"/>
      <c r="R5" s="198" t="s">
        <v>91</v>
      </c>
      <c r="S5" s="10"/>
      <c r="T5" s="12" t="s">
        <v>2</v>
      </c>
      <c r="U5" s="13" t="s">
        <v>3</v>
      </c>
      <c r="V5" s="14" t="s">
        <v>4</v>
      </c>
    </row>
    <row r="6">
      <c r="B6" s="15">
        <v>1.0</v>
      </c>
      <c r="C6" s="16" t="s">
        <v>5</v>
      </c>
      <c r="D6" s="11"/>
      <c r="E6" s="199">
        <v>1268.0</v>
      </c>
      <c r="F6" s="128"/>
      <c r="G6" s="17" t="s">
        <v>6</v>
      </c>
      <c r="H6" s="18"/>
      <c r="I6" s="19">
        <f>E6</f>
        <v>1268</v>
      </c>
      <c r="J6" s="20"/>
      <c r="K6" s="21"/>
      <c r="L6" s="172"/>
      <c r="M6" s="15">
        <v>1.0</v>
      </c>
      <c r="N6" s="16" t="s">
        <v>5</v>
      </c>
      <c r="O6" s="11"/>
      <c r="P6" s="199">
        <v>430.0</v>
      </c>
      <c r="Q6" s="128"/>
      <c r="R6" s="17" t="s">
        <v>6</v>
      </c>
      <c r="S6" s="18"/>
      <c r="T6" s="19">
        <f>P6</f>
        <v>430</v>
      </c>
      <c r="U6" s="20"/>
      <c r="V6" s="21"/>
    </row>
    <row r="7">
      <c r="B7" s="22">
        <v>2.0</v>
      </c>
      <c r="C7" s="23" t="s">
        <v>7</v>
      </c>
      <c r="D7" s="11"/>
      <c r="E7" s="200">
        <v>0.5</v>
      </c>
      <c r="F7" s="150">
        <v>0.5</v>
      </c>
      <c r="G7" s="25" t="s">
        <v>8</v>
      </c>
      <c r="H7" s="26"/>
      <c r="I7" s="27">
        <f t="shared" ref="I7:I8" si="1">I6*J7</f>
        <v>634</v>
      </c>
      <c r="J7" s="28">
        <f t="shared" ref="J7:J8" si="2">E7</f>
        <v>0.5</v>
      </c>
      <c r="K7" s="29">
        <f t="shared" ref="K7:K8" si="3">I7+(I7*E9)</f>
        <v>951</v>
      </c>
      <c r="L7" s="75">
        <f>K7/I6</f>
        <v>0.75</v>
      </c>
      <c r="M7" s="22">
        <v>2.0</v>
      </c>
      <c r="N7" s="23" t="s">
        <v>7</v>
      </c>
      <c r="O7" s="11"/>
      <c r="P7" s="200">
        <v>0.7</v>
      </c>
      <c r="Q7" s="128"/>
      <c r="R7" s="25" t="s">
        <v>8</v>
      </c>
      <c r="S7" s="26"/>
      <c r="T7" s="27">
        <f t="shared" ref="T7:T8" si="4">T6*U7</f>
        <v>301</v>
      </c>
      <c r="U7" s="28">
        <f t="shared" ref="U7:U8" si="5">P7</f>
        <v>0.7</v>
      </c>
      <c r="V7" s="29">
        <f>T7+(T7*P9)</f>
        <v>451.5</v>
      </c>
      <c r="W7" s="75">
        <f>V7/T6</f>
        <v>1.05</v>
      </c>
    </row>
    <row r="8">
      <c r="B8" s="30">
        <v>3.0</v>
      </c>
      <c r="C8" s="31" t="s">
        <v>9</v>
      </c>
      <c r="D8" s="11"/>
      <c r="E8" s="201">
        <v>0.4</v>
      </c>
      <c r="F8" s="154" t="s">
        <v>38</v>
      </c>
      <c r="G8" s="25" t="s">
        <v>10</v>
      </c>
      <c r="H8" s="26"/>
      <c r="I8" s="33">
        <f t="shared" si="1"/>
        <v>253.6</v>
      </c>
      <c r="J8" s="34">
        <f t="shared" si="2"/>
        <v>0.4</v>
      </c>
      <c r="K8" s="35">
        <f t="shared" si="3"/>
        <v>405.76</v>
      </c>
      <c r="L8" s="75">
        <f>K8/K7</f>
        <v>0.4266666667</v>
      </c>
      <c r="M8" s="30">
        <v>3.0</v>
      </c>
      <c r="N8" s="31" t="s">
        <v>9</v>
      </c>
      <c r="O8" s="11"/>
      <c r="P8" s="201">
        <v>0.31</v>
      </c>
      <c r="Q8" s="128"/>
      <c r="R8" s="25" t="s">
        <v>10</v>
      </c>
      <c r="S8" s="26"/>
      <c r="T8" s="33">
        <f t="shared" si="4"/>
        <v>93.31</v>
      </c>
      <c r="U8" s="34">
        <f t="shared" si="5"/>
        <v>0.31</v>
      </c>
      <c r="V8" s="35">
        <f>T8+(T8*P9)</f>
        <v>139.965</v>
      </c>
      <c r="W8" s="75">
        <f>V8/V7</f>
        <v>0.31</v>
      </c>
    </row>
    <row r="9">
      <c r="B9" s="36">
        <v>4.0</v>
      </c>
      <c r="C9" s="37" t="s">
        <v>11</v>
      </c>
      <c r="D9" s="11"/>
      <c r="E9" s="202">
        <v>0.5</v>
      </c>
      <c r="F9" s="128"/>
      <c r="G9" s="25" t="s">
        <v>12</v>
      </c>
      <c r="H9" s="26"/>
      <c r="I9" s="39">
        <f>E11</f>
        <v>45</v>
      </c>
      <c r="J9" s="40">
        <f>E12</f>
        <v>0.3</v>
      </c>
      <c r="K9" s="41">
        <f>I9+(I9*E12)</f>
        <v>58.5</v>
      </c>
      <c r="L9" s="172"/>
      <c r="M9" s="36">
        <v>4.0</v>
      </c>
      <c r="N9" s="37" t="s">
        <v>11</v>
      </c>
      <c r="O9" s="11"/>
      <c r="P9" s="202">
        <v>0.5</v>
      </c>
      <c r="Q9" s="128"/>
      <c r="R9" s="25" t="s">
        <v>12</v>
      </c>
      <c r="S9" s="26"/>
      <c r="T9" s="39">
        <f>P11</f>
        <v>33</v>
      </c>
      <c r="U9" s="40">
        <f>P12</f>
        <v>0.6</v>
      </c>
      <c r="V9" s="41">
        <f>T9+(T9*P12)</f>
        <v>52.8</v>
      </c>
    </row>
    <row r="10">
      <c r="B10" s="42">
        <v>5.0</v>
      </c>
      <c r="C10" s="43" t="s">
        <v>13</v>
      </c>
      <c r="D10" s="11"/>
      <c r="E10" s="203">
        <v>0.6</v>
      </c>
      <c r="F10" s="128"/>
      <c r="G10" s="25" t="s">
        <v>14</v>
      </c>
      <c r="H10" s="26"/>
      <c r="I10" s="45">
        <f>E13</f>
        <v>2439</v>
      </c>
      <c r="J10" s="46">
        <f>E14</f>
        <v>0.25</v>
      </c>
      <c r="K10" s="47">
        <f>I10+(I10*J10)</f>
        <v>3048.75</v>
      </c>
      <c r="L10" s="174">
        <f>K10/3</f>
        <v>1016.25</v>
      </c>
      <c r="M10" s="42">
        <v>5.0</v>
      </c>
      <c r="N10" s="43" t="s">
        <v>13</v>
      </c>
      <c r="O10" s="11"/>
      <c r="P10" s="203">
        <v>0.5</v>
      </c>
      <c r="Q10" s="128"/>
      <c r="R10" s="25" t="s">
        <v>14</v>
      </c>
      <c r="S10" s="26"/>
      <c r="T10" s="45">
        <f>P13</f>
        <v>350</v>
      </c>
      <c r="U10" s="46">
        <f>P14</f>
        <v>0.45</v>
      </c>
      <c r="V10" s="47">
        <f>T10+(T10*U10)</f>
        <v>507.5</v>
      </c>
    </row>
    <row r="11">
      <c r="B11" s="48">
        <v>6.0</v>
      </c>
      <c r="C11" s="49" t="s">
        <v>15</v>
      </c>
      <c r="D11" s="11"/>
      <c r="E11" s="204">
        <v>45.0</v>
      </c>
      <c r="F11" s="128"/>
      <c r="G11" s="25" t="s">
        <v>16</v>
      </c>
      <c r="H11" s="26"/>
      <c r="I11" s="45">
        <f>IFERROR(I7/E15,0)</f>
        <v>39.625</v>
      </c>
      <c r="J11" s="51"/>
      <c r="K11" s="47">
        <f>IFERROR(K7/K13,0)</f>
        <v>59.4375</v>
      </c>
      <c r="L11" s="172"/>
      <c r="M11" s="48">
        <v>6.0</v>
      </c>
      <c r="N11" s="49" t="s">
        <v>15</v>
      </c>
      <c r="O11" s="11"/>
      <c r="P11" s="204">
        <v>33.0</v>
      </c>
      <c r="Q11" s="128"/>
      <c r="R11" s="25" t="s">
        <v>16</v>
      </c>
      <c r="S11" s="26"/>
      <c r="T11" s="45">
        <f>IFERROR(T7/P15,0)</f>
        <v>75.25</v>
      </c>
      <c r="U11" s="51"/>
      <c r="V11" s="47">
        <f>IFERROR(V7/V13,0)</f>
        <v>75.25</v>
      </c>
    </row>
    <row r="12">
      <c r="B12" s="48">
        <v>7.0</v>
      </c>
      <c r="C12" s="49" t="s">
        <v>17</v>
      </c>
      <c r="D12" s="11"/>
      <c r="E12" s="205">
        <v>0.3</v>
      </c>
      <c r="F12" s="128"/>
      <c r="G12" s="25" t="s">
        <v>18</v>
      </c>
      <c r="H12" s="26"/>
      <c r="I12" s="53">
        <f>IFERROR(I10/I8,0)</f>
        <v>9.617507886</v>
      </c>
      <c r="J12" s="51"/>
      <c r="K12" s="54">
        <f>IFERROR(K10/K8,0)</f>
        <v>7.513678036</v>
      </c>
      <c r="L12" s="172"/>
      <c r="M12" s="48">
        <v>7.0</v>
      </c>
      <c r="N12" s="49" t="s">
        <v>17</v>
      </c>
      <c r="O12" s="11"/>
      <c r="P12" s="205">
        <v>0.6</v>
      </c>
      <c r="Q12" s="128"/>
      <c r="R12" s="25" t="s">
        <v>18</v>
      </c>
      <c r="S12" s="26"/>
      <c r="T12" s="53">
        <f>IFERROR(T10/T8,0)</f>
        <v>3.750937734</v>
      </c>
      <c r="U12" s="51"/>
      <c r="V12" s="54">
        <f>IFERROR(V10/V8,0)</f>
        <v>3.625906477</v>
      </c>
    </row>
    <row r="13">
      <c r="B13" s="55">
        <v>8.0</v>
      </c>
      <c r="C13" s="56" t="s">
        <v>19</v>
      </c>
      <c r="D13" s="11"/>
      <c r="E13" s="206">
        <f>813*3</f>
        <v>2439</v>
      </c>
      <c r="F13" s="163"/>
      <c r="G13" s="25" t="s">
        <v>20</v>
      </c>
      <c r="H13" s="26"/>
      <c r="I13" s="59"/>
      <c r="J13" s="51"/>
      <c r="K13" s="47">
        <f>E15+(E15*E16)</f>
        <v>16</v>
      </c>
      <c r="L13" s="172"/>
      <c r="M13" s="55">
        <v>8.0</v>
      </c>
      <c r="N13" s="56" t="s">
        <v>19</v>
      </c>
      <c r="O13" s="11"/>
      <c r="P13" s="206">
        <v>350.0</v>
      </c>
      <c r="Q13" s="163"/>
      <c r="R13" s="25" t="s">
        <v>20</v>
      </c>
      <c r="S13" s="26"/>
      <c r="T13" s="59"/>
      <c r="U13" s="51"/>
      <c r="V13" s="47">
        <f>P15+(P15*P16)</f>
        <v>6</v>
      </c>
    </row>
    <row r="14">
      <c r="B14" s="55">
        <v>9.0</v>
      </c>
      <c r="C14" s="56" t="s">
        <v>21</v>
      </c>
      <c r="D14" s="11"/>
      <c r="E14" s="207">
        <v>0.25</v>
      </c>
      <c r="F14" s="145"/>
      <c r="G14" s="25" t="s">
        <v>22</v>
      </c>
      <c r="H14" s="26"/>
      <c r="I14" s="45">
        <f>IFERROR(I10/E15,0)</f>
        <v>152.4375</v>
      </c>
      <c r="J14" s="51"/>
      <c r="K14" s="47">
        <f>IFERROR(K10/K13,0)</f>
        <v>190.546875</v>
      </c>
      <c r="L14" s="172"/>
      <c r="M14" s="55">
        <v>9.0</v>
      </c>
      <c r="N14" s="56" t="s">
        <v>21</v>
      </c>
      <c r="O14" s="11"/>
      <c r="P14" s="207">
        <v>0.45</v>
      </c>
      <c r="Q14" s="145"/>
      <c r="R14" s="25" t="s">
        <v>22</v>
      </c>
      <c r="S14" s="26"/>
      <c r="T14" s="45">
        <f>IFERROR(T10/P15,0)</f>
        <v>87.5</v>
      </c>
      <c r="U14" s="51"/>
      <c r="V14" s="47">
        <f>IFERROR(V10/V13,0)</f>
        <v>84.58333333</v>
      </c>
    </row>
    <row r="15">
      <c r="B15" s="55">
        <v>10.0</v>
      </c>
      <c r="C15" s="56" t="s">
        <v>23</v>
      </c>
      <c r="D15" s="11"/>
      <c r="E15" s="206">
        <v>16.0</v>
      </c>
      <c r="F15" s="145"/>
      <c r="G15" s="25"/>
      <c r="H15" s="26"/>
      <c r="I15" s="59"/>
      <c r="J15" s="51"/>
      <c r="K15" s="146"/>
      <c r="L15" s="172"/>
      <c r="M15" s="55">
        <v>10.0</v>
      </c>
      <c r="N15" s="56" t="s">
        <v>23</v>
      </c>
      <c r="O15" s="11"/>
      <c r="P15" s="206">
        <v>4.0</v>
      </c>
      <c r="Q15" s="145"/>
      <c r="R15" s="25"/>
      <c r="S15" s="26"/>
      <c r="T15" s="59"/>
      <c r="U15" s="51"/>
      <c r="V15" s="146"/>
    </row>
    <row r="16">
      <c r="B16" s="55">
        <v>11.0</v>
      </c>
      <c r="C16" s="56" t="s">
        <v>24</v>
      </c>
      <c r="D16" s="11"/>
      <c r="E16" s="60">
        <v>0.0</v>
      </c>
      <c r="F16" s="145"/>
      <c r="G16" s="208" t="s">
        <v>30</v>
      </c>
      <c r="H16" s="26"/>
      <c r="I16" s="209"/>
      <c r="J16" s="210"/>
      <c r="K16" s="211">
        <f>(K10*28)*E17</f>
        <v>15365.7</v>
      </c>
      <c r="L16" s="172"/>
      <c r="M16" s="55">
        <v>11.0</v>
      </c>
      <c r="N16" s="56" t="s">
        <v>24</v>
      </c>
      <c r="O16" s="11"/>
      <c r="P16" s="207">
        <v>0.5</v>
      </c>
      <c r="Q16" s="145"/>
      <c r="R16" s="208" t="s">
        <v>30</v>
      </c>
      <c r="S16" s="26"/>
      <c r="T16" s="209"/>
      <c r="U16" s="210"/>
      <c r="V16" s="211">
        <f>(V10*28)*P17</f>
        <v>0</v>
      </c>
    </row>
    <row r="17">
      <c r="B17" s="91">
        <v>12.0</v>
      </c>
      <c r="C17" s="92" t="s">
        <v>31</v>
      </c>
      <c r="D17" s="11"/>
      <c r="E17" s="93">
        <v>0.18</v>
      </c>
      <c r="F17" s="145"/>
      <c r="G17" s="208" t="s">
        <v>32</v>
      </c>
      <c r="H17" s="26"/>
      <c r="I17" s="209"/>
      <c r="J17" s="210"/>
      <c r="K17" s="211">
        <f>(K10*28)*E18</f>
        <v>853.65</v>
      </c>
      <c r="L17" s="172"/>
      <c r="M17" s="91">
        <v>12.0</v>
      </c>
      <c r="N17" s="92" t="s">
        <v>31</v>
      </c>
      <c r="O17" s="11"/>
      <c r="P17" s="93">
        <v>0.0</v>
      </c>
      <c r="Q17" s="145"/>
      <c r="R17" s="208" t="s">
        <v>32</v>
      </c>
      <c r="S17" s="26"/>
      <c r="T17" s="209"/>
      <c r="U17" s="210"/>
      <c r="V17" s="211">
        <f>(V10*28)*P18</f>
        <v>0</v>
      </c>
    </row>
    <row r="18">
      <c r="B18" s="96"/>
      <c r="C18" s="92" t="s">
        <v>43</v>
      </c>
      <c r="D18" s="11"/>
      <c r="E18" s="97">
        <v>0.01</v>
      </c>
      <c r="F18" s="145"/>
      <c r="G18" s="62"/>
      <c r="H18" s="63"/>
      <c r="I18" s="64"/>
      <c r="J18" s="65"/>
      <c r="K18" s="66"/>
      <c r="L18" s="172"/>
      <c r="M18" s="96"/>
      <c r="N18" s="92" t="s">
        <v>43</v>
      </c>
      <c r="O18" s="11"/>
      <c r="P18" s="93">
        <v>0.0</v>
      </c>
      <c r="Q18" s="145"/>
      <c r="R18" s="62"/>
      <c r="S18" s="63"/>
      <c r="T18" s="64"/>
      <c r="U18" s="65"/>
      <c r="V18" s="66"/>
    </row>
    <row r="19">
      <c r="F19" s="129"/>
      <c r="G19" s="61"/>
      <c r="L19" s="172"/>
      <c r="Q19" s="129"/>
      <c r="R19" s="61"/>
    </row>
    <row r="20">
      <c r="B20" s="148" t="s">
        <v>25</v>
      </c>
      <c r="C20" s="3"/>
      <c r="D20" s="3"/>
      <c r="E20" s="3"/>
      <c r="F20" s="3"/>
      <c r="G20" s="3"/>
      <c r="H20" s="3"/>
      <c r="I20" s="3"/>
      <c r="J20" s="3"/>
      <c r="K20" s="4"/>
      <c r="L20" s="172"/>
      <c r="M20" s="148" t="s">
        <v>25</v>
      </c>
      <c r="N20" s="3"/>
      <c r="O20" s="3"/>
      <c r="P20" s="3"/>
      <c r="Q20" s="3"/>
      <c r="R20" s="3"/>
      <c r="S20" s="3"/>
      <c r="T20" s="3"/>
      <c r="U20" s="3"/>
      <c r="V20" s="4"/>
    </row>
    <row r="21">
      <c r="B21" s="5"/>
      <c r="C21" s="6"/>
      <c r="D21" s="6"/>
      <c r="E21" s="6"/>
      <c r="F21" s="6"/>
      <c r="G21" s="6"/>
      <c r="H21" s="6"/>
      <c r="I21" s="6"/>
      <c r="J21" s="6"/>
      <c r="K21" s="7"/>
      <c r="L21" s="172"/>
      <c r="M21" s="5"/>
      <c r="N21" s="6"/>
      <c r="O21" s="6"/>
      <c r="P21" s="6"/>
      <c r="Q21" s="6"/>
      <c r="R21" s="6"/>
      <c r="S21" s="6"/>
      <c r="T21" s="6"/>
      <c r="U21" s="6"/>
      <c r="V21" s="7"/>
    </row>
    <row r="22">
      <c r="B22" s="159"/>
      <c r="C22" s="159"/>
      <c r="D22" s="159"/>
      <c r="E22" s="159"/>
      <c r="F22" s="160"/>
      <c r="G22" s="159"/>
      <c r="H22" s="159"/>
      <c r="I22" s="159"/>
      <c r="J22" s="159"/>
      <c r="K22" s="159"/>
      <c r="L22" s="172"/>
      <c r="M22" s="159"/>
      <c r="N22" s="159"/>
      <c r="O22" s="159"/>
      <c r="P22" s="159"/>
      <c r="Q22" s="160"/>
      <c r="R22" s="159"/>
      <c r="S22" s="159"/>
      <c r="T22" s="159"/>
      <c r="U22" s="159"/>
      <c r="V22" s="159"/>
    </row>
    <row r="23">
      <c r="B23" s="159"/>
      <c r="C23" s="159"/>
      <c r="D23" s="159"/>
      <c r="E23" s="159"/>
      <c r="F23" s="160"/>
      <c r="G23" s="159"/>
      <c r="H23" s="159"/>
      <c r="I23" s="159"/>
      <c r="J23" s="159"/>
      <c r="K23" s="159"/>
      <c r="L23" s="172"/>
      <c r="M23" s="159"/>
      <c r="N23" s="159"/>
      <c r="O23" s="159"/>
      <c r="P23" s="159"/>
      <c r="Q23" s="160"/>
      <c r="R23" s="159"/>
      <c r="S23" s="159"/>
      <c r="T23" s="159"/>
      <c r="U23" s="159"/>
      <c r="V23" s="159"/>
    </row>
    <row r="24">
      <c r="B24" s="2" t="s">
        <v>0</v>
      </c>
      <c r="C24" s="3"/>
      <c r="D24" s="3"/>
      <c r="E24" s="3"/>
      <c r="F24" s="3"/>
      <c r="G24" s="3"/>
      <c r="H24" s="3"/>
      <c r="I24" s="3"/>
      <c r="J24" s="3"/>
      <c r="K24" s="4"/>
      <c r="L24" s="172"/>
      <c r="M24" s="2" t="s">
        <v>0</v>
      </c>
      <c r="N24" s="3"/>
      <c r="O24" s="3"/>
      <c r="P24" s="3"/>
      <c r="Q24" s="3"/>
      <c r="R24" s="3"/>
      <c r="S24" s="3"/>
      <c r="T24" s="3"/>
      <c r="U24" s="3"/>
      <c r="V24" s="4"/>
    </row>
    <row r="25">
      <c r="B25" s="5"/>
      <c r="C25" s="6"/>
      <c r="D25" s="6"/>
      <c r="E25" s="6"/>
      <c r="F25" s="6"/>
      <c r="G25" s="6"/>
      <c r="H25" s="6"/>
      <c r="I25" s="6"/>
      <c r="J25" s="6"/>
      <c r="K25" s="7"/>
      <c r="L25" s="172"/>
      <c r="M25" s="5"/>
      <c r="N25" s="6"/>
      <c r="O25" s="6"/>
      <c r="P25" s="6"/>
      <c r="Q25" s="6"/>
      <c r="R25" s="6"/>
      <c r="S25" s="6"/>
      <c r="T25" s="6"/>
      <c r="U25" s="6"/>
      <c r="V25" s="7"/>
    </row>
    <row r="26">
      <c r="B26" s="8"/>
      <c r="C26" s="8"/>
      <c r="D26" s="8"/>
      <c r="E26" s="8"/>
      <c r="F26" s="129"/>
      <c r="G26" s="8"/>
      <c r="L26" s="172"/>
      <c r="M26" s="8"/>
      <c r="N26" s="8"/>
      <c r="O26" s="8"/>
      <c r="P26" s="8"/>
      <c r="Q26" s="129"/>
      <c r="R26" s="8"/>
    </row>
    <row r="27">
      <c r="B27" s="9" t="s">
        <v>26</v>
      </c>
      <c r="C27" s="10"/>
      <c r="D27" s="10"/>
      <c r="E27" s="11"/>
      <c r="F27" s="128"/>
      <c r="G27" s="72" t="s">
        <v>92</v>
      </c>
      <c r="H27" s="10"/>
      <c r="I27" s="12" t="s">
        <v>2</v>
      </c>
      <c r="J27" s="13" t="s">
        <v>3</v>
      </c>
      <c r="K27" s="14" t="s">
        <v>4</v>
      </c>
      <c r="L27" s="172"/>
      <c r="M27" s="9" t="s">
        <v>26</v>
      </c>
      <c r="N27" s="10"/>
      <c r="O27" s="10"/>
      <c r="P27" s="11"/>
      <c r="Q27" s="128"/>
      <c r="R27" s="198" t="s">
        <v>93</v>
      </c>
      <c r="S27" s="10"/>
      <c r="T27" s="12" t="s">
        <v>2</v>
      </c>
      <c r="U27" s="13" t="s">
        <v>3</v>
      </c>
      <c r="V27" s="14" t="s">
        <v>4</v>
      </c>
    </row>
    <row r="28">
      <c r="B28" s="15">
        <v>1.0</v>
      </c>
      <c r="C28" s="16" t="s">
        <v>5</v>
      </c>
      <c r="D28" s="11"/>
      <c r="E28" s="199">
        <v>1331.0</v>
      </c>
      <c r="F28" s="128"/>
      <c r="G28" s="17" t="s">
        <v>6</v>
      </c>
      <c r="H28" s="18"/>
      <c r="I28" s="19">
        <f>E28</f>
        <v>1331</v>
      </c>
      <c r="J28" s="20"/>
      <c r="K28" s="21"/>
      <c r="L28" s="172"/>
      <c r="M28" s="15">
        <v>1.0</v>
      </c>
      <c r="N28" s="16" t="s">
        <v>5</v>
      </c>
      <c r="O28" s="11"/>
      <c r="P28" s="199">
        <v>1109.0</v>
      </c>
      <c r="Q28" s="128"/>
      <c r="R28" s="17" t="s">
        <v>6</v>
      </c>
      <c r="S28" s="18"/>
      <c r="T28" s="19">
        <f>P28</f>
        <v>1109</v>
      </c>
      <c r="U28" s="20"/>
      <c r="V28" s="21"/>
    </row>
    <row r="29">
      <c r="B29" s="22">
        <v>2.0</v>
      </c>
      <c r="C29" s="23" t="s">
        <v>7</v>
      </c>
      <c r="D29" s="11"/>
      <c r="E29" s="200">
        <v>0.7</v>
      </c>
      <c r="F29" s="150">
        <v>0.7</v>
      </c>
      <c r="G29" s="25" t="s">
        <v>8</v>
      </c>
      <c r="H29" s="26"/>
      <c r="I29" s="27">
        <f t="shared" ref="I29:I30" si="6">I28*J29</f>
        <v>931.7</v>
      </c>
      <c r="J29" s="28">
        <f t="shared" ref="J29:J30" si="7">E29</f>
        <v>0.7</v>
      </c>
      <c r="K29" s="29">
        <f t="shared" ref="K29:K30" si="8">I29+(I29*E31)</f>
        <v>1211.21</v>
      </c>
      <c r="L29" s="75">
        <f>K29/I28</f>
        <v>0.91</v>
      </c>
      <c r="M29" s="22">
        <v>2.0</v>
      </c>
      <c r="N29" s="23" t="s">
        <v>7</v>
      </c>
      <c r="O29" s="11"/>
      <c r="P29" s="200">
        <v>0.85</v>
      </c>
      <c r="Q29" s="150">
        <v>0.85</v>
      </c>
      <c r="R29" s="25" t="s">
        <v>8</v>
      </c>
      <c r="S29" s="26"/>
      <c r="T29" s="27">
        <f t="shared" ref="T29:T30" si="9">T28*U29</f>
        <v>942.65</v>
      </c>
      <c r="U29" s="28">
        <f t="shared" ref="U29:U30" si="10">P29</f>
        <v>0.85</v>
      </c>
      <c r="V29" s="29">
        <f t="shared" ref="V29:V30" si="11">T29+(T29*P31)</f>
        <v>989.7825</v>
      </c>
      <c r="W29" s="75">
        <f>V29/T28</f>
        <v>0.8925</v>
      </c>
    </row>
    <row r="30">
      <c r="B30" s="30">
        <v>3.0</v>
      </c>
      <c r="C30" s="31" t="s">
        <v>9</v>
      </c>
      <c r="D30" s="11"/>
      <c r="E30" s="201">
        <v>0.6</v>
      </c>
      <c r="F30" s="154" t="s">
        <v>36</v>
      </c>
      <c r="G30" s="25" t="s">
        <v>10</v>
      </c>
      <c r="H30" s="26"/>
      <c r="I30" s="33">
        <f t="shared" si="6"/>
        <v>559.02</v>
      </c>
      <c r="J30" s="34">
        <f t="shared" si="7"/>
        <v>0.6</v>
      </c>
      <c r="K30" s="35">
        <f t="shared" si="8"/>
        <v>782.628</v>
      </c>
      <c r="L30" s="75">
        <f>K30/K29</f>
        <v>0.6461538462</v>
      </c>
      <c r="M30" s="30">
        <v>3.0</v>
      </c>
      <c r="N30" s="31" t="s">
        <v>9</v>
      </c>
      <c r="O30" s="11"/>
      <c r="P30" s="201">
        <v>0.4</v>
      </c>
      <c r="Q30" s="154" t="s">
        <v>38</v>
      </c>
      <c r="R30" s="25" t="s">
        <v>10</v>
      </c>
      <c r="S30" s="26"/>
      <c r="T30" s="33">
        <f t="shared" si="9"/>
        <v>377.06</v>
      </c>
      <c r="U30" s="34">
        <f t="shared" si="10"/>
        <v>0.4</v>
      </c>
      <c r="V30" s="35">
        <f t="shared" si="11"/>
        <v>603.296</v>
      </c>
      <c r="W30" s="75">
        <f>V30/V29</f>
        <v>0.6095238095</v>
      </c>
    </row>
    <row r="31">
      <c r="B31" s="36">
        <v>4.0</v>
      </c>
      <c r="C31" s="37" t="s">
        <v>11</v>
      </c>
      <c r="D31" s="11"/>
      <c r="E31" s="202">
        <v>0.3</v>
      </c>
      <c r="F31" s="128"/>
      <c r="G31" s="25" t="s">
        <v>12</v>
      </c>
      <c r="H31" s="26"/>
      <c r="I31" s="39">
        <f>E33</f>
        <v>39</v>
      </c>
      <c r="J31" s="40">
        <f>E34</f>
        <v>0.4</v>
      </c>
      <c r="K31" s="41">
        <f>I31+(I31*E34)</f>
        <v>54.6</v>
      </c>
      <c r="L31" s="172"/>
      <c r="M31" s="36">
        <v>4.0</v>
      </c>
      <c r="N31" s="37" t="s">
        <v>11</v>
      </c>
      <c r="O31" s="11"/>
      <c r="P31" s="202">
        <v>0.05</v>
      </c>
      <c r="Q31" s="128"/>
      <c r="R31" s="25" t="s">
        <v>12</v>
      </c>
      <c r="S31" s="26"/>
      <c r="T31" s="39">
        <f>P33</f>
        <v>42</v>
      </c>
      <c r="U31" s="40">
        <f>P34</f>
        <v>0.5</v>
      </c>
      <c r="V31" s="41">
        <f>T31+(T31*P34)</f>
        <v>63</v>
      </c>
    </row>
    <row r="32">
      <c r="B32" s="42">
        <v>5.0</v>
      </c>
      <c r="C32" s="43" t="s">
        <v>13</v>
      </c>
      <c r="D32" s="11"/>
      <c r="E32" s="203">
        <v>0.4</v>
      </c>
      <c r="F32" s="128"/>
      <c r="G32" s="25" t="s">
        <v>14</v>
      </c>
      <c r="H32" s="26"/>
      <c r="I32" s="45">
        <f>E35</f>
        <v>2640</v>
      </c>
      <c r="J32" s="46">
        <f>E36</f>
        <v>0.25</v>
      </c>
      <c r="K32" s="47">
        <f>I32+(I32*J32)</f>
        <v>3300</v>
      </c>
      <c r="L32" s="172">
        <f>K32/3</f>
        <v>1100</v>
      </c>
      <c r="M32" s="42">
        <v>5.0</v>
      </c>
      <c r="N32" s="43" t="s">
        <v>13</v>
      </c>
      <c r="O32" s="11"/>
      <c r="P32" s="203">
        <v>0.6</v>
      </c>
      <c r="Q32" s="128"/>
      <c r="R32" s="25" t="s">
        <v>14</v>
      </c>
      <c r="S32" s="26"/>
      <c r="T32" s="45">
        <f>P35</f>
        <v>1974</v>
      </c>
      <c r="U32" s="212">
        <v>0.3</v>
      </c>
      <c r="V32" s="47">
        <f>T32+(T32*U32)</f>
        <v>2566.2</v>
      </c>
      <c r="W32" s="174">
        <f>V32/3</f>
        <v>855.4</v>
      </c>
    </row>
    <row r="33">
      <c r="B33" s="48">
        <v>6.0</v>
      </c>
      <c r="C33" s="49" t="s">
        <v>15</v>
      </c>
      <c r="D33" s="11"/>
      <c r="E33" s="204">
        <v>39.0</v>
      </c>
      <c r="F33" s="128"/>
      <c r="G33" s="25" t="s">
        <v>16</v>
      </c>
      <c r="H33" s="26"/>
      <c r="I33" s="45">
        <f>IFERROR(I29/E37,0)</f>
        <v>71.66923077</v>
      </c>
      <c r="J33" s="51"/>
      <c r="K33" s="47">
        <f>IFERROR(K29/K35,0)</f>
        <v>93.17</v>
      </c>
      <c r="L33" s="172"/>
      <c r="M33" s="48">
        <v>6.0</v>
      </c>
      <c r="N33" s="49" t="s">
        <v>15</v>
      </c>
      <c r="O33" s="11"/>
      <c r="P33" s="204">
        <v>42.0</v>
      </c>
      <c r="Q33" s="128"/>
      <c r="R33" s="25" t="s">
        <v>16</v>
      </c>
      <c r="S33" s="26"/>
      <c r="T33" s="45">
        <f>IFERROR(T29/P37,0)</f>
        <v>94.265</v>
      </c>
      <c r="U33" s="51"/>
      <c r="V33" s="47">
        <f>IFERROR(V29/V35,0)</f>
        <v>86.06804348</v>
      </c>
    </row>
    <row r="34">
      <c r="B34" s="48">
        <v>7.0</v>
      </c>
      <c r="C34" s="49" t="s">
        <v>17</v>
      </c>
      <c r="D34" s="11"/>
      <c r="E34" s="205">
        <v>0.4</v>
      </c>
      <c r="F34" s="128"/>
      <c r="G34" s="25" t="s">
        <v>18</v>
      </c>
      <c r="H34" s="26"/>
      <c r="I34" s="53">
        <f>IFERROR(I32/I30,0)</f>
        <v>4.722550177</v>
      </c>
      <c r="J34" s="51"/>
      <c r="K34" s="54">
        <f>IFERROR(K32/K30,0)</f>
        <v>4.216562658</v>
      </c>
      <c r="L34" s="172"/>
      <c r="M34" s="48">
        <v>7.0</v>
      </c>
      <c r="N34" s="49" t="s">
        <v>17</v>
      </c>
      <c r="O34" s="11"/>
      <c r="P34" s="205">
        <v>0.5</v>
      </c>
      <c r="Q34" s="128"/>
      <c r="R34" s="25" t="s">
        <v>18</v>
      </c>
      <c r="S34" s="26"/>
      <c r="T34" s="53">
        <f>IFERROR(T32/T30,0)</f>
        <v>5.235241076</v>
      </c>
      <c r="U34" s="51"/>
      <c r="V34" s="54">
        <f>IFERROR(V32/V30,0)</f>
        <v>4.253633374</v>
      </c>
    </row>
    <row r="35">
      <c r="B35" s="55">
        <v>8.0</v>
      </c>
      <c r="C35" s="56" t="s">
        <v>19</v>
      </c>
      <c r="D35" s="11"/>
      <c r="E35" s="206">
        <f>880*3</f>
        <v>2640</v>
      </c>
      <c r="F35" s="163"/>
      <c r="G35" s="25" t="s">
        <v>20</v>
      </c>
      <c r="H35" s="26"/>
      <c r="I35" s="59"/>
      <c r="J35" s="51"/>
      <c r="K35" s="47">
        <f>E37+(E37*E38)</f>
        <v>13</v>
      </c>
      <c r="L35" s="172"/>
      <c r="M35" s="55">
        <v>8.0</v>
      </c>
      <c r="N35" s="56" t="s">
        <v>19</v>
      </c>
      <c r="O35" s="11"/>
      <c r="P35" s="206">
        <f>658*3</f>
        <v>1974</v>
      </c>
      <c r="Q35" s="213"/>
      <c r="R35" s="25" t="s">
        <v>20</v>
      </c>
      <c r="S35" s="26"/>
      <c r="T35" s="59"/>
      <c r="U35" s="51"/>
      <c r="V35" s="47">
        <f>P37+(P37*P38)</f>
        <v>11.5</v>
      </c>
    </row>
    <row r="36">
      <c r="B36" s="55">
        <v>9.0</v>
      </c>
      <c r="C36" s="56" t="s">
        <v>21</v>
      </c>
      <c r="D36" s="11"/>
      <c r="E36" s="207">
        <v>0.25</v>
      </c>
      <c r="F36" s="145"/>
      <c r="G36" s="25" t="s">
        <v>22</v>
      </c>
      <c r="H36" s="26"/>
      <c r="I36" s="45">
        <f>IFERROR(I32/E37,0)</f>
        <v>203.0769231</v>
      </c>
      <c r="J36" s="51"/>
      <c r="K36" s="47">
        <f>IFERROR(K32/K35,0)</f>
        <v>253.8461538</v>
      </c>
      <c r="L36" s="172"/>
      <c r="M36" s="55">
        <v>9.0</v>
      </c>
      <c r="N36" s="56" t="s">
        <v>21</v>
      </c>
      <c r="O36" s="11"/>
      <c r="P36" s="207">
        <v>0.3</v>
      </c>
      <c r="Q36" s="145"/>
      <c r="R36" s="25" t="s">
        <v>22</v>
      </c>
      <c r="S36" s="26"/>
      <c r="T36" s="45">
        <f>IFERROR(T32/P37,0)</f>
        <v>197.4</v>
      </c>
      <c r="U36" s="51"/>
      <c r="V36" s="47">
        <f>IFERROR(V32/V35,0)</f>
        <v>223.1478261</v>
      </c>
    </row>
    <row r="37">
      <c r="B37" s="55">
        <v>10.0</v>
      </c>
      <c r="C37" s="56" t="s">
        <v>23</v>
      </c>
      <c r="D37" s="11"/>
      <c r="E37" s="206">
        <v>13.0</v>
      </c>
      <c r="F37" s="145"/>
      <c r="G37" s="25"/>
      <c r="H37" s="26"/>
      <c r="I37" s="59"/>
      <c r="J37" s="51"/>
      <c r="K37" s="146"/>
      <c r="L37" s="172"/>
      <c r="M37" s="55">
        <v>10.0</v>
      </c>
      <c r="N37" s="56" t="s">
        <v>23</v>
      </c>
      <c r="O37" s="11"/>
      <c r="P37" s="206">
        <v>10.0</v>
      </c>
      <c r="Q37" s="145"/>
      <c r="R37" s="25"/>
      <c r="S37" s="26"/>
      <c r="T37" s="59"/>
      <c r="U37" s="51"/>
      <c r="V37" s="146"/>
    </row>
    <row r="38">
      <c r="B38" s="55">
        <v>11.0</v>
      </c>
      <c r="C38" s="56" t="s">
        <v>24</v>
      </c>
      <c r="D38" s="11"/>
      <c r="E38" s="60">
        <v>0.0</v>
      </c>
      <c r="F38" s="145"/>
      <c r="G38" s="208" t="s">
        <v>30</v>
      </c>
      <c r="H38" s="26"/>
      <c r="I38" s="209"/>
      <c r="J38" s="210"/>
      <c r="K38" s="211">
        <f>(K32*28)*E39</f>
        <v>16632</v>
      </c>
      <c r="L38" s="172"/>
      <c r="M38" s="55">
        <v>11.0</v>
      </c>
      <c r="N38" s="56" t="s">
        <v>24</v>
      </c>
      <c r="O38" s="11"/>
      <c r="P38" s="207">
        <v>0.15</v>
      </c>
      <c r="Q38" s="145"/>
      <c r="R38" s="208" t="s">
        <v>30</v>
      </c>
      <c r="S38" s="26"/>
      <c r="T38" s="209"/>
      <c r="U38" s="210"/>
      <c r="V38" s="211">
        <f>(V32*28)*P39</f>
        <v>14370.72</v>
      </c>
    </row>
    <row r="39">
      <c r="B39" s="91">
        <v>12.0</v>
      </c>
      <c r="C39" s="92" t="s">
        <v>31</v>
      </c>
      <c r="D39" s="11"/>
      <c r="E39" s="93">
        <v>0.18</v>
      </c>
      <c r="F39" s="145"/>
      <c r="G39" s="208" t="s">
        <v>32</v>
      </c>
      <c r="H39" s="26"/>
      <c r="I39" s="209"/>
      <c r="J39" s="210"/>
      <c r="K39" s="211">
        <f>(K32*28)*E40</f>
        <v>924</v>
      </c>
      <c r="L39" s="172"/>
      <c r="M39" s="91">
        <v>12.0</v>
      </c>
      <c r="N39" s="92" t="s">
        <v>31</v>
      </c>
      <c r="O39" s="11"/>
      <c r="P39" s="93">
        <v>0.2</v>
      </c>
      <c r="Q39" s="145"/>
      <c r="R39" s="208" t="s">
        <v>32</v>
      </c>
      <c r="S39" s="26"/>
      <c r="T39" s="209"/>
      <c r="U39" s="210"/>
      <c r="V39" s="211">
        <f>(V32*28)*P40</f>
        <v>718.536</v>
      </c>
    </row>
    <row r="40">
      <c r="B40" s="96"/>
      <c r="C40" s="92" t="s">
        <v>43</v>
      </c>
      <c r="D40" s="11"/>
      <c r="E40" s="97">
        <v>0.01</v>
      </c>
      <c r="F40" s="145"/>
      <c r="G40" s="62"/>
      <c r="H40" s="63"/>
      <c r="I40" s="64"/>
      <c r="J40" s="65"/>
      <c r="K40" s="66"/>
      <c r="L40" s="172"/>
      <c r="M40" s="96"/>
      <c r="N40" s="92" t="s">
        <v>43</v>
      </c>
      <c r="O40" s="11"/>
      <c r="P40" s="93">
        <v>0.01</v>
      </c>
      <c r="Q40" s="145"/>
      <c r="R40" s="62"/>
      <c r="S40" s="63"/>
      <c r="T40" s="64"/>
      <c r="U40" s="65"/>
      <c r="V40" s="66"/>
    </row>
    <row r="41">
      <c r="F41" s="129"/>
      <c r="G41" s="61"/>
      <c r="L41" s="172"/>
      <c r="Q41" s="129"/>
      <c r="R41" s="61"/>
    </row>
    <row r="42">
      <c r="B42" s="148" t="s">
        <v>25</v>
      </c>
      <c r="C42" s="3"/>
      <c r="D42" s="3"/>
      <c r="E42" s="3"/>
      <c r="F42" s="3"/>
      <c r="G42" s="3"/>
      <c r="H42" s="3"/>
      <c r="I42" s="3"/>
      <c r="J42" s="3"/>
      <c r="K42" s="4"/>
      <c r="L42" s="172"/>
      <c r="M42" s="148" t="s">
        <v>25</v>
      </c>
      <c r="N42" s="3"/>
      <c r="O42" s="3"/>
      <c r="P42" s="3"/>
      <c r="Q42" s="3"/>
      <c r="R42" s="3"/>
      <c r="S42" s="3"/>
      <c r="T42" s="3"/>
      <c r="U42" s="3"/>
      <c r="V42" s="4"/>
    </row>
    <row r="43">
      <c r="B43" s="5"/>
      <c r="C43" s="6"/>
      <c r="D43" s="6"/>
      <c r="E43" s="6"/>
      <c r="F43" s="6"/>
      <c r="G43" s="6"/>
      <c r="H43" s="6"/>
      <c r="I43" s="6"/>
      <c r="J43" s="6"/>
      <c r="K43" s="7"/>
      <c r="L43" s="172"/>
      <c r="M43" s="5"/>
      <c r="N43" s="6"/>
      <c r="O43" s="6"/>
      <c r="P43" s="6"/>
      <c r="Q43" s="6"/>
      <c r="R43" s="6"/>
      <c r="S43" s="6"/>
      <c r="T43" s="6"/>
      <c r="U43" s="6"/>
      <c r="V43" s="7"/>
    </row>
    <row r="44">
      <c r="B44" s="159"/>
      <c r="C44" s="159"/>
      <c r="D44" s="159"/>
      <c r="E44" s="159"/>
      <c r="F44" s="160"/>
      <c r="G44" s="159"/>
      <c r="H44" s="159"/>
      <c r="I44" s="159"/>
      <c r="J44" s="159"/>
      <c r="K44" s="159"/>
      <c r="L44" s="172"/>
      <c r="M44" s="159"/>
      <c r="N44" s="159"/>
      <c r="O44" s="159"/>
      <c r="P44" s="159"/>
      <c r="Q44" s="160"/>
      <c r="R44" s="159"/>
      <c r="S44" s="159"/>
      <c r="T44" s="159"/>
      <c r="U44" s="159"/>
      <c r="V44" s="159"/>
    </row>
    <row r="45">
      <c r="B45" s="159"/>
      <c r="C45" s="159"/>
      <c r="D45" s="159"/>
      <c r="E45" s="159"/>
      <c r="F45" s="160"/>
      <c r="G45" s="159"/>
      <c r="H45" s="159"/>
      <c r="I45" s="159"/>
      <c r="J45" s="159"/>
      <c r="K45" s="159"/>
      <c r="L45" s="172"/>
      <c r="M45" s="159"/>
      <c r="N45" s="159"/>
      <c r="O45" s="159"/>
      <c r="P45" s="159"/>
      <c r="Q45" s="160"/>
      <c r="R45" s="159"/>
      <c r="S45" s="159"/>
      <c r="T45" s="159"/>
      <c r="U45" s="159"/>
      <c r="V45" s="159"/>
    </row>
    <row r="46">
      <c r="B46" s="161" t="s">
        <v>94</v>
      </c>
      <c r="C46" s="3"/>
      <c r="D46" s="3"/>
      <c r="E46" s="3"/>
      <c r="F46" s="3"/>
      <c r="G46" s="3"/>
      <c r="H46" s="3"/>
      <c r="I46" s="3"/>
      <c r="J46" s="3"/>
      <c r="K46" s="4"/>
      <c r="L46" s="172"/>
      <c r="M46" s="161" t="s">
        <v>95</v>
      </c>
      <c r="N46" s="3"/>
      <c r="O46" s="3"/>
      <c r="P46" s="3"/>
      <c r="Q46" s="3"/>
      <c r="R46" s="3"/>
      <c r="S46" s="3"/>
      <c r="T46" s="3"/>
      <c r="U46" s="3"/>
      <c r="V46" s="4"/>
    </row>
    <row r="47">
      <c r="B47" s="5"/>
      <c r="C47" s="6"/>
      <c r="D47" s="6"/>
      <c r="E47" s="6"/>
      <c r="F47" s="6"/>
      <c r="G47" s="6"/>
      <c r="H47" s="6"/>
      <c r="I47" s="6"/>
      <c r="J47" s="6"/>
      <c r="K47" s="7"/>
      <c r="L47" s="172"/>
      <c r="M47" s="5"/>
      <c r="N47" s="6"/>
      <c r="O47" s="6"/>
      <c r="P47" s="6"/>
      <c r="Q47" s="6"/>
      <c r="R47" s="6"/>
      <c r="S47" s="6"/>
      <c r="T47" s="6"/>
      <c r="U47" s="6"/>
      <c r="V47" s="7"/>
    </row>
    <row r="48">
      <c r="B48" s="8"/>
      <c r="C48" s="8"/>
      <c r="D48" s="8"/>
      <c r="E48" s="8"/>
      <c r="F48" s="129"/>
      <c r="G48" s="8"/>
      <c r="L48" s="172"/>
      <c r="M48" s="8"/>
      <c r="N48" s="8"/>
      <c r="O48" s="8"/>
      <c r="P48" s="8"/>
      <c r="Q48" s="129"/>
      <c r="R48" s="8"/>
    </row>
    <row r="49">
      <c r="B49" s="9" t="s">
        <v>26</v>
      </c>
      <c r="C49" s="10"/>
      <c r="D49" s="10"/>
      <c r="E49" s="11"/>
      <c r="F49" s="128"/>
      <c r="G49" s="198" t="s">
        <v>96</v>
      </c>
      <c r="H49" s="10"/>
      <c r="I49" s="12" t="s">
        <v>2</v>
      </c>
      <c r="J49" s="13" t="s">
        <v>3</v>
      </c>
      <c r="K49" s="14" t="s">
        <v>4</v>
      </c>
      <c r="L49" s="172"/>
      <c r="M49" s="9" t="s">
        <v>26</v>
      </c>
      <c r="N49" s="10"/>
      <c r="O49" s="10"/>
      <c r="P49" s="11"/>
      <c r="Q49" s="128"/>
      <c r="R49" s="72" t="s">
        <v>97</v>
      </c>
      <c r="S49" s="10"/>
      <c r="T49" s="12" t="s">
        <v>2</v>
      </c>
      <c r="U49" s="13" t="s">
        <v>3</v>
      </c>
      <c r="V49" s="14" t="s">
        <v>4</v>
      </c>
    </row>
    <row r="50">
      <c r="B50" s="15">
        <v>1.0</v>
      </c>
      <c r="C50" s="16" t="s">
        <v>5</v>
      </c>
      <c r="D50" s="11"/>
      <c r="E50" s="199">
        <v>533.0</v>
      </c>
      <c r="F50" s="128"/>
      <c r="G50" s="17" t="s">
        <v>6</v>
      </c>
      <c r="H50" s="18"/>
      <c r="I50" s="19">
        <f>E50</f>
        <v>533</v>
      </c>
      <c r="J50" s="20"/>
      <c r="K50" s="21"/>
      <c r="L50" s="172"/>
      <c r="M50" s="15">
        <v>1.0</v>
      </c>
      <c r="N50" s="16" t="s">
        <v>5</v>
      </c>
      <c r="O50" s="11"/>
      <c r="P50" s="199">
        <v>528.0</v>
      </c>
      <c r="Q50" s="128"/>
      <c r="R50" s="17" t="s">
        <v>6</v>
      </c>
      <c r="S50" s="18"/>
      <c r="T50" s="19">
        <f>P50</f>
        <v>528</v>
      </c>
      <c r="U50" s="20"/>
      <c r="V50" s="21"/>
    </row>
    <row r="51">
      <c r="B51" s="22">
        <v>2.0</v>
      </c>
      <c r="C51" s="23" t="s">
        <v>7</v>
      </c>
      <c r="D51" s="11"/>
      <c r="E51" s="200">
        <v>0.6</v>
      </c>
      <c r="F51" s="128"/>
      <c r="G51" s="25" t="s">
        <v>8</v>
      </c>
      <c r="H51" s="26"/>
      <c r="I51" s="27">
        <f t="shared" ref="I51:I52" si="12">I50*J51</f>
        <v>319.8</v>
      </c>
      <c r="J51" s="28">
        <f t="shared" ref="J51:J52" si="13">E51</f>
        <v>0.6</v>
      </c>
      <c r="K51" s="29">
        <f t="shared" ref="K51:K52" si="14">I51+(I51*E53)</f>
        <v>447.72</v>
      </c>
      <c r="L51" s="75">
        <f>K51/I50</f>
        <v>0.84</v>
      </c>
      <c r="M51" s="22">
        <v>2.0</v>
      </c>
      <c r="N51" s="23" t="s">
        <v>7</v>
      </c>
      <c r="O51" s="11"/>
      <c r="P51" s="200">
        <v>0.65</v>
      </c>
      <c r="Q51" s="128"/>
      <c r="R51" s="25" t="s">
        <v>8</v>
      </c>
      <c r="S51" s="26"/>
      <c r="T51" s="27">
        <f t="shared" ref="T51:T52" si="15">T50*U51</f>
        <v>343.2</v>
      </c>
      <c r="U51" s="28">
        <f t="shared" ref="U51:U52" si="16">P51</f>
        <v>0.65</v>
      </c>
      <c r="V51" s="29">
        <f>T51+(T51*P53)</f>
        <v>480.48</v>
      </c>
      <c r="W51" s="75">
        <f>V51/T50</f>
        <v>0.91</v>
      </c>
    </row>
    <row r="52">
      <c r="B52" s="30">
        <v>3.0</v>
      </c>
      <c r="C52" s="31" t="s">
        <v>9</v>
      </c>
      <c r="D52" s="11"/>
      <c r="E52" s="201">
        <v>0.21</v>
      </c>
      <c r="F52" s="128"/>
      <c r="G52" s="25" t="s">
        <v>10</v>
      </c>
      <c r="H52" s="26"/>
      <c r="I52" s="33">
        <f t="shared" si="12"/>
        <v>67.158</v>
      </c>
      <c r="J52" s="34">
        <f t="shared" si="13"/>
        <v>0.21</v>
      </c>
      <c r="K52" s="35">
        <f t="shared" si="14"/>
        <v>87.3054</v>
      </c>
      <c r="L52" s="75">
        <f>K52/K51</f>
        <v>0.195</v>
      </c>
      <c r="M52" s="30">
        <v>3.0</v>
      </c>
      <c r="N52" s="31" t="s">
        <v>9</v>
      </c>
      <c r="O52" s="11"/>
      <c r="P52" s="201">
        <v>0.29</v>
      </c>
      <c r="Q52" s="128"/>
      <c r="R52" s="25" t="s">
        <v>10</v>
      </c>
      <c r="S52" s="26"/>
      <c r="T52" s="33">
        <f t="shared" si="15"/>
        <v>99.528</v>
      </c>
      <c r="U52" s="34">
        <f t="shared" si="16"/>
        <v>0.29</v>
      </c>
      <c r="V52" s="35">
        <f>T52+(T52*P53)</f>
        <v>139.3392</v>
      </c>
      <c r="W52" s="75">
        <f>V52/V51</f>
        <v>0.29</v>
      </c>
    </row>
    <row r="53">
      <c r="B53" s="36">
        <v>4.0</v>
      </c>
      <c r="C53" s="37" t="s">
        <v>11</v>
      </c>
      <c r="D53" s="11"/>
      <c r="E53" s="202">
        <v>0.4</v>
      </c>
      <c r="F53" s="128"/>
      <c r="G53" s="25" t="s">
        <v>12</v>
      </c>
      <c r="H53" s="26"/>
      <c r="I53" s="39">
        <f>E55</f>
        <v>28</v>
      </c>
      <c r="J53" s="40">
        <f>E56</f>
        <v>0.5</v>
      </c>
      <c r="K53" s="41">
        <f>I53+(I53*E56)</f>
        <v>42</v>
      </c>
      <c r="L53" s="172"/>
      <c r="M53" s="36">
        <v>4.0</v>
      </c>
      <c r="N53" s="37" t="s">
        <v>11</v>
      </c>
      <c r="O53" s="11"/>
      <c r="P53" s="202">
        <v>0.4</v>
      </c>
      <c r="Q53" s="128"/>
      <c r="R53" s="25" t="s">
        <v>12</v>
      </c>
      <c r="S53" s="26"/>
      <c r="T53" s="39">
        <f>P55</f>
        <v>39</v>
      </c>
      <c r="U53" s="40">
        <f>P56</f>
        <v>0.4</v>
      </c>
      <c r="V53" s="41">
        <f>T53+(T53*P56)</f>
        <v>54.6</v>
      </c>
    </row>
    <row r="54">
      <c r="B54" s="42">
        <v>5.0</v>
      </c>
      <c r="C54" s="43" t="s">
        <v>13</v>
      </c>
      <c r="D54" s="11"/>
      <c r="E54" s="203">
        <v>0.3</v>
      </c>
      <c r="F54" s="128"/>
      <c r="G54" s="25" t="s">
        <v>14</v>
      </c>
      <c r="H54" s="26"/>
      <c r="I54" s="45">
        <f>E57</f>
        <v>300</v>
      </c>
      <c r="J54" s="46">
        <f>E58</f>
        <v>0.7</v>
      </c>
      <c r="K54" s="47">
        <f>I54+(I54*J54)</f>
        <v>510</v>
      </c>
      <c r="L54" s="172"/>
      <c r="M54" s="42">
        <v>5.0</v>
      </c>
      <c r="N54" s="43" t="s">
        <v>13</v>
      </c>
      <c r="O54" s="11"/>
      <c r="P54" s="203">
        <v>0.4</v>
      </c>
      <c r="Q54" s="128"/>
      <c r="R54" s="25" t="s">
        <v>14</v>
      </c>
      <c r="S54" s="26"/>
      <c r="T54" s="45">
        <f>P57</f>
        <v>332</v>
      </c>
      <c r="U54" s="46">
        <f>P58</f>
        <v>0.55</v>
      </c>
      <c r="V54" s="47">
        <f>T54+(T54*U54)</f>
        <v>514.6</v>
      </c>
    </row>
    <row r="55">
      <c r="B55" s="48">
        <v>6.0</v>
      </c>
      <c r="C55" s="49" t="s">
        <v>15</v>
      </c>
      <c r="D55" s="11"/>
      <c r="E55" s="204">
        <v>28.0</v>
      </c>
      <c r="F55" s="128"/>
      <c r="G55" s="25" t="s">
        <v>16</v>
      </c>
      <c r="H55" s="26"/>
      <c r="I55" s="45">
        <f>IFERROR(I51/E59,0)</f>
        <v>79.95</v>
      </c>
      <c r="J55" s="51"/>
      <c r="K55" s="47">
        <f>IFERROR(K51/K57,0)</f>
        <v>79.95</v>
      </c>
      <c r="L55" s="172"/>
      <c r="M55" s="48">
        <v>6.0</v>
      </c>
      <c r="N55" s="49" t="s">
        <v>15</v>
      </c>
      <c r="O55" s="11"/>
      <c r="P55" s="204">
        <v>39.0</v>
      </c>
      <c r="Q55" s="128"/>
      <c r="R55" s="25" t="s">
        <v>16</v>
      </c>
      <c r="S55" s="26"/>
      <c r="T55" s="45">
        <f>IFERROR(T51/P59,0)</f>
        <v>68.64</v>
      </c>
      <c r="U55" s="51"/>
      <c r="V55" s="47">
        <f>IFERROR(V51/V57,0)</f>
        <v>64.064</v>
      </c>
    </row>
    <row r="56">
      <c r="B56" s="48">
        <v>7.0</v>
      </c>
      <c r="C56" s="49" t="s">
        <v>17</v>
      </c>
      <c r="D56" s="11"/>
      <c r="E56" s="205">
        <v>0.5</v>
      </c>
      <c r="F56" s="128"/>
      <c r="G56" s="25" t="s">
        <v>18</v>
      </c>
      <c r="H56" s="26"/>
      <c r="I56" s="53">
        <f>IFERROR(I54/I52,0)</f>
        <v>4.467077638</v>
      </c>
      <c r="J56" s="51"/>
      <c r="K56" s="54">
        <f>IFERROR(K54/K52,0)</f>
        <v>5.841563065</v>
      </c>
      <c r="L56" s="172"/>
      <c r="M56" s="48">
        <v>7.0</v>
      </c>
      <c r="N56" s="49" t="s">
        <v>17</v>
      </c>
      <c r="O56" s="11"/>
      <c r="P56" s="205">
        <v>0.4</v>
      </c>
      <c r="Q56" s="128"/>
      <c r="R56" s="25" t="s">
        <v>18</v>
      </c>
      <c r="S56" s="26"/>
      <c r="T56" s="53">
        <f>IFERROR(T54/T52,0)</f>
        <v>3.335744715</v>
      </c>
      <c r="U56" s="51"/>
      <c r="V56" s="54">
        <f>IFERROR(V54/V52,0)</f>
        <v>3.693145935</v>
      </c>
    </row>
    <row r="57">
      <c r="B57" s="55">
        <v>8.0</v>
      </c>
      <c r="C57" s="56" t="s">
        <v>19</v>
      </c>
      <c r="D57" s="11"/>
      <c r="E57" s="206">
        <v>300.0</v>
      </c>
      <c r="F57" s="163"/>
      <c r="G57" s="25" t="s">
        <v>20</v>
      </c>
      <c r="H57" s="26"/>
      <c r="I57" s="59"/>
      <c r="J57" s="51"/>
      <c r="K57" s="47">
        <f>E59+(E59*E60)</f>
        <v>5.6</v>
      </c>
      <c r="L57" s="172"/>
      <c r="M57" s="55">
        <v>8.0</v>
      </c>
      <c r="N57" s="56" t="s">
        <v>19</v>
      </c>
      <c r="O57" s="11"/>
      <c r="P57" s="206">
        <v>332.0</v>
      </c>
      <c r="Q57" s="163"/>
      <c r="R57" s="25" t="s">
        <v>20</v>
      </c>
      <c r="S57" s="26"/>
      <c r="T57" s="59"/>
      <c r="U57" s="51"/>
      <c r="V57" s="47">
        <f>P59+(P59*P60)</f>
        <v>7.5</v>
      </c>
    </row>
    <row r="58">
      <c r="B58" s="55">
        <v>9.0</v>
      </c>
      <c r="C58" s="56" t="s">
        <v>21</v>
      </c>
      <c r="D58" s="11"/>
      <c r="E58" s="207">
        <v>0.7</v>
      </c>
      <c r="F58" s="145"/>
      <c r="G58" s="25" t="s">
        <v>22</v>
      </c>
      <c r="H58" s="26"/>
      <c r="I58" s="45">
        <f>IFERROR(I54/E59,0)</f>
        <v>75</v>
      </c>
      <c r="J58" s="51"/>
      <c r="K58" s="47">
        <f>IFERROR(K54/K57,0)</f>
        <v>91.07142857</v>
      </c>
      <c r="L58" s="172"/>
      <c r="M58" s="55">
        <v>9.0</v>
      </c>
      <c r="N58" s="56" t="s">
        <v>21</v>
      </c>
      <c r="O58" s="11"/>
      <c r="P58" s="207">
        <v>0.55</v>
      </c>
      <c r="Q58" s="145"/>
      <c r="R58" s="25" t="s">
        <v>22</v>
      </c>
      <c r="S58" s="26"/>
      <c r="T58" s="45">
        <f>IFERROR(T54/P59,0)</f>
        <v>66.4</v>
      </c>
      <c r="U58" s="51"/>
      <c r="V58" s="47">
        <f>IFERROR(V54/V57,0)</f>
        <v>68.61333333</v>
      </c>
    </row>
    <row r="59">
      <c r="B59" s="55">
        <v>10.0</v>
      </c>
      <c r="C59" s="56" t="s">
        <v>23</v>
      </c>
      <c r="D59" s="11"/>
      <c r="E59" s="206">
        <v>4.0</v>
      </c>
      <c r="F59" s="145"/>
      <c r="G59" s="25"/>
      <c r="H59" s="26"/>
      <c r="I59" s="59"/>
      <c r="J59" s="51"/>
      <c r="K59" s="146"/>
      <c r="L59" s="172"/>
      <c r="M59" s="55">
        <v>10.0</v>
      </c>
      <c r="N59" s="56" t="s">
        <v>23</v>
      </c>
      <c r="O59" s="11"/>
      <c r="P59" s="206">
        <v>5.0</v>
      </c>
      <c r="Q59" s="145"/>
      <c r="R59" s="25"/>
      <c r="S59" s="26"/>
      <c r="T59" s="59"/>
      <c r="U59" s="51"/>
      <c r="V59" s="146"/>
    </row>
    <row r="60">
      <c r="B60" s="55">
        <v>11.0</v>
      </c>
      <c r="C60" s="56" t="s">
        <v>24</v>
      </c>
      <c r="D60" s="11"/>
      <c r="E60" s="60">
        <v>0.4</v>
      </c>
      <c r="F60" s="145"/>
      <c r="G60" s="208" t="s">
        <v>30</v>
      </c>
      <c r="H60" s="26"/>
      <c r="I60" s="209"/>
      <c r="J60" s="210"/>
      <c r="K60" s="211">
        <f>(K54*28)*E61</f>
        <v>0</v>
      </c>
      <c r="L60" s="172"/>
      <c r="M60" s="55">
        <v>11.0</v>
      </c>
      <c r="N60" s="56" t="s">
        <v>24</v>
      </c>
      <c r="O60" s="11"/>
      <c r="P60" s="207">
        <v>0.5</v>
      </c>
      <c r="Q60" s="145"/>
      <c r="R60" s="208" t="s">
        <v>30</v>
      </c>
      <c r="S60" s="26"/>
      <c r="T60" s="209"/>
      <c r="U60" s="210"/>
      <c r="V60" s="211">
        <f>(V54*28)*P61</f>
        <v>0</v>
      </c>
    </row>
    <row r="61">
      <c r="B61" s="91">
        <v>12.0</v>
      </c>
      <c r="C61" s="92" t="s">
        <v>31</v>
      </c>
      <c r="D61" s="11"/>
      <c r="E61" s="93">
        <v>0.0</v>
      </c>
      <c r="F61" s="145"/>
      <c r="G61" s="208" t="s">
        <v>32</v>
      </c>
      <c r="H61" s="26"/>
      <c r="I61" s="209"/>
      <c r="J61" s="210"/>
      <c r="K61" s="211">
        <f>(K54*28)*E62</f>
        <v>142.8</v>
      </c>
      <c r="L61" s="172"/>
      <c r="M61" s="91">
        <v>12.0</v>
      </c>
      <c r="N61" s="92" t="s">
        <v>31</v>
      </c>
      <c r="O61" s="11"/>
      <c r="P61" s="93">
        <v>0.0</v>
      </c>
      <c r="Q61" s="145"/>
      <c r="R61" s="208" t="s">
        <v>32</v>
      </c>
      <c r="S61" s="26"/>
      <c r="T61" s="209"/>
      <c r="U61" s="210"/>
      <c r="V61" s="211">
        <f>(V54*28)*P62</f>
        <v>144.088</v>
      </c>
    </row>
    <row r="62">
      <c r="B62" s="96"/>
      <c r="C62" s="92" t="s">
        <v>43</v>
      </c>
      <c r="D62" s="11"/>
      <c r="E62" s="93">
        <v>0.01</v>
      </c>
      <c r="F62" s="145"/>
      <c r="G62" s="62"/>
      <c r="H62" s="63"/>
      <c r="I62" s="64"/>
      <c r="J62" s="65"/>
      <c r="K62" s="66"/>
      <c r="L62" s="172"/>
      <c r="M62" s="96"/>
      <c r="N62" s="92" t="s">
        <v>43</v>
      </c>
      <c r="O62" s="11"/>
      <c r="P62" s="93">
        <v>0.01</v>
      </c>
      <c r="Q62" s="145"/>
      <c r="R62" s="62"/>
      <c r="S62" s="63"/>
      <c r="T62" s="64"/>
      <c r="U62" s="65"/>
      <c r="V62" s="66"/>
    </row>
    <row r="63">
      <c r="F63" s="129"/>
      <c r="G63" s="61"/>
      <c r="L63" s="172"/>
      <c r="Q63" s="129"/>
      <c r="R63" s="61"/>
    </row>
    <row r="64">
      <c r="B64" s="148" t="s">
        <v>25</v>
      </c>
      <c r="C64" s="3"/>
      <c r="D64" s="3"/>
      <c r="E64" s="3"/>
      <c r="F64" s="3"/>
      <c r="G64" s="3"/>
      <c r="H64" s="3"/>
      <c r="I64" s="3"/>
      <c r="J64" s="3"/>
      <c r="K64" s="4"/>
      <c r="L64" s="172"/>
      <c r="M64" s="148" t="s">
        <v>25</v>
      </c>
      <c r="N64" s="3"/>
      <c r="O64" s="3"/>
      <c r="P64" s="3"/>
      <c r="Q64" s="3"/>
      <c r="R64" s="3"/>
      <c r="S64" s="3"/>
      <c r="T64" s="3"/>
      <c r="U64" s="3"/>
      <c r="V64" s="4"/>
    </row>
    <row r="65">
      <c r="B65" s="5"/>
      <c r="C65" s="6"/>
      <c r="D65" s="6"/>
      <c r="E65" s="6"/>
      <c r="F65" s="6"/>
      <c r="G65" s="6"/>
      <c r="H65" s="6"/>
      <c r="I65" s="6"/>
      <c r="J65" s="6"/>
      <c r="K65" s="7"/>
      <c r="L65" s="172"/>
      <c r="M65" s="5"/>
      <c r="N65" s="6"/>
      <c r="O65" s="6"/>
      <c r="P65" s="6"/>
      <c r="Q65" s="6"/>
      <c r="R65" s="6"/>
      <c r="S65" s="6"/>
      <c r="T65" s="6"/>
      <c r="U65" s="6"/>
      <c r="V65" s="7"/>
    </row>
    <row r="66">
      <c r="B66" s="8"/>
      <c r="C66" s="8"/>
      <c r="D66" s="8"/>
      <c r="E66" s="8"/>
      <c r="F66" s="129"/>
      <c r="G66" s="8"/>
      <c r="L66" s="172"/>
      <c r="Q66" s="128"/>
    </row>
    <row r="67">
      <c r="B67" s="197" t="s">
        <v>85</v>
      </c>
      <c r="C67" s="8"/>
      <c r="D67" s="8"/>
      <c r="E67" s="8"/>
      <c r="F67" s="129"/>
      <c r="G67" s="8"/>
      <c r="L67" s="172"/>
      <c r="Q67" s="128"/>
    </row>
    <row r="68">
      <c r="B68" s="2" t="s">
        <v>0</v>
      </c>
      <c r="C68" s="3"/>
      <c r="D68" s="3"/>
      <c r="E68" s="3"/>
      <c r="F68" s="3"/>
      <c r="G68" s="3"/>
      <c r="H68" s="3"/>
      <c r="I68" s="3"/>
      <c r="J68" s="3"/>
      <c r="K68" s="4"/>
      <c r="L68" s="172"/>
      <c r="Q68" s="128"/>
    </row>
    <row r="69">
      <c r="B69" s="5"/>
      <c r="C69" s="6"/>
      <c r="D69" s="6"/>
      <c r="E69" s="6"/>
      <c r="F69" s="6"/>
      <c r="G69" s="6"/>
      <c r="H69" s="6"/>
      <c r="I69" s="6"/>
      <c r="J69" s="6"/>
      <c r="K69" s="7"/>
      <c r="L69" s="172"/>
      <c r="Q69" s="128"/>
    </row>
    <row r="70">
      <c r="B70" s="8"/>
      <c r="C70" s="8"/>
      <c r="D70" s="8"/>
      <c r="E70" s="8"/>
      <c r="F70" s="129"/>
      <c r="G70" s="8"/>
      <c r="L70" s="172"/>
      <c r="Q70" s="128"/>
    </row>
    <row r="71">
      <c r="B71" s="9" t="s">
        <v>86</v>
      </c>
      <c r="C71" s="10"/>
      <c r="D71" s="10"/>
      <c r="E71" s="11"/>
      <c r="F71" s="128"/>
      <c r="G71" s="72" t="s">
        <v>98</v>
      </c>
      <c r="H71" s="10"/>
      <c r="I71" s="12" t="s">
        <v>2</v>
      </c>
      <c r="J71" s="13" t="s">
        <v>3</v>
      </c>
      <c r="K71" s="14" t="s">
        <v>4</v>
      </c>
      <c r="L71" s="172"/>
      <c r="Q71" s="128"/>
    </row>
    <row r="72">
      <c r="B72" s="15">
        <v>1.0</v>
      </c>
      <c r="C72" s="16" t="s">
        <v>5</v>
      </c>
      <c r="D72" s="11"/>
      <c r="E72" s="199">
        <v>1331.0</v>
      </c>
      <c r="F72" s="128"/>
      <c r="G72" s="17" t="s">
        <v>6</v>
      </c>
      <c r="H72" s="18"/>
      <c r="I72" s="19">
        <f>E72</f>
        <v>1331</v>
      </c>
      <c r="J72" s="20"/>
      <c r="K72" s="21"/>
      <c r="L72" s="172"/>
      <c r="Q72" s="128"/>
    </row>
    <row r="73">
      <c r="B73" s="22">
        <v>2.0</v>
      </c>
      <c r="C73" s="23" t="s">
        <v>7</v>
      </c>
      <c r="D73" s="11"/>
      <c r="E73" s="200">
        <v>0.7</v>
      </c>
      <c r="F73" s="150">
        <v>0.7</v>
      </c>
      <c r="G73" s="25" t="s">
        <v>8</v>
      </c>
      <c r="H73" s="26"/>
      <c r="I73" s="27">
        <f t="shared" ref="I73:I74" si="17">I72*J73</f>
        <v>931.7</v>
      </c>
      <c r="J73" s="28">
        <f t="shared" ref="J73:J74" si="18">E73</f>
        <v>0.7</v>
      </c>
      <c r="K73" s="29">
        <f t="shared" ref="K73:K74" si="19">I73+(I73*E75)</f>
        <v>1211.21</v>
      </c>
      <c r="L73" s="172"/>
      <c r="Q73" s="128"/>
    </row>
    <row r="74">
      <c r="B74" s="30">
        <v>3.0</v>
      </c>
      <c r="C74" s="31" t="s">
        <v>9</v>
      </c>
      <c r="D74" s="11"/>
      <c r="E74" s="201">
        <v>0.6</v>
      </c>
      <c r="F74" s="154" t="s">
        <v>36</v>
      </c>
      <c r="G74" s="25" t="s">
        <v>10</v>
      </c>
      <c r="H74" s="26"/>
      <c r="I74" s="33">
        <f t="shared" si="17"/>
        <v>559.02</v>
      </c>
      <c r="J74" s="34">
        <f t="shared" si="18"/>
        <v>0.6</v>
      </c>
      <c r="K74" s="35">
        <f t="shared" si="19"/>
        <v>782.628</v>
      </c>
      <c r="L74" s="172"/>
      <c r="Q74" s="128"/>
    </row>
    <row r="75">
      <c r="B75" s="36">
        <v>4.0</v>
      </c>
      <c r="C75" s="37" t="s">
        <v>11</v>
      </c>
      <c r="D75" s="11"/>
      <c r="E75" s="202">
        <v>0.3</v>
      </c>
      <c r="F75" s="128"/>
      <c r="G75" s="25" t="s">
        <v>12</v>
      </c>
      <c r="H75" s="26"/>
      <c r="I75" s="39">
        <f>E77</f>
        <v>39</v>
      </c>
      <c r="J75" s="40">
        <f>E78</f>
        <v>0.4</v>
      </c>
      <c r="K75" s="41">
        <f>I75+(I75*E78)</f>
        <v>54.6</v>
      </c>
      <c r="L75" s="172"/>
      <c r="Q75" s="128"/>
    </row>
    <row r="76">
      <c r="B76" s="42">
        <v>5.0</v>
      </c>
      <c r="C76" s="43" t="s">
        <v>13</v>
      </c>
      <c r="D76" s="11"/>
      <c r="E76" s="203">
        <v>0.4</v>
      </c>
      <c r="F76" s="128"/>
      <c r="G76" s="25" t="s">
        <v>14</v>
      </c>
      <c r="H76" s="26"/>
      <c r="I76" s="45">
        <f>E79</f>
        <v>2640</v>
      </c>
      <c r="J76" s="46">
        <f>E80</f>
        <v>0.25</v>
      </c>
      <c r="K76" s="47">
        <f>I76+(I76*J76)</f>
        <v>3300</v>
      </c>
      <c r="L76" s="172"/>
      <c r="Q76" s="128"/>
    </row>
    <row r="77">
      <c r="B77" s="48">
        <v>6.0</v>
      </c>
      <c r="C77" s="49" t="s">
        <v>15</v>
      </c>
      <c r="D77" s="11"/>
      <c r="E77" s="204">
        <v>39.0</v>
      </c>
      <c r="F77" s="128"/>
      <c r="G77" s="25" t="s">
        <v>16</v>
      </c>
      <c r="H77" s="26"/>
      <c r="I77" s="45">
        <f>IFERROR(I73/E81,0)</f>
        <v>71.66923077</v>
      </c>
      <c r="J77" s="51"/>
      <c r="K77" s="47">
        <f>IFERROR(K73/K79,0)</f>
        <v>93.17</v>
      </c>
      <c r="L77" s="172"/>
      <c r="Q77" s="128"/>
    </row>
    <row r="78">
      <c r="B78" s="48">
        <v>7.0</v>
      </c>
      <c r="C78" s="49" t="s">
        <v>17</v>
      </c>
      <c r="D78" s="11"/>
      <c r="E78" s="205">
        <v>0.4</v>
      </c>
      <c r="F78" s="128"/>
      <c r="G78" s="25" t="s">
        <v>18</v>
      </c>
      <c r="H78" s="26"/>
      <c r="I78" s="53">
        <f>IFERROR(I76/I74,0)</f>
        <v>4.722550177</v>
      </c>
      <c r="J78" s="51"/>
      <c r="K78" s="54">
        <f>IFERROR(K76/K74,0)</f>
        <v>4.216562658</v>
      </c>
      <c r="L78" s="172"/>
      <c r="Q78" s="128"/>
    </row>
    <row r="79">
      <c r="B79" s="55">
        <v>8.0</v>
      </c>
      <c r="C79" s="56" t="s">
        <v>19</v>
      </c>
      <c r="D79" s="11"/>
      <c r="E79" s="206">
        <f>880*3</f>
        <v>2640</v>
      </c>
      <c r="F79" s="163"/>
      <c r="G79" s="25" t="s">
        <v>20</v>
      </c>
      <c r="H79" s="26"/>
      <c r="I79" s="59"/>
      <c r="J79" s="51"/>
      <c r="K79" s="47">
        <f>E81+(E81*E82)</f>
        <v>13</v>
      </c>
      <c r="L79" s="172"/>
      <c r="Q79" s="128"/>
    </row>
    <row r="80">
      <c r="B80" s="55">
        <v>9.0</v>
      </c>
      <c r="C80" s="56" t="s">
        <v>21</v>
      </c>
      <c r="D80" s="11"/>
      <c r="E80" s="207">
        <v>0.25</v>
      </c>
      <c r="F80" s="145"/>
      <c r="G80" s="25" t="s">
        <v>22</v>
      </c>
      <c r="H80" s="26"/>
      <c r="I80" s="45">
        <f>IFERROR(I76/E81,0)</f>
        <v>203.0769231</v>
      </c>
      <c r="J80" s="51"/>
      <c r="K80" s="47">
        <f>IFERROR(K76/K79,0)</f>
        <v>253.8461538</v>
      </c>
      <c r="L80" s="172"/>
      <c r="Q80" s="128"/>
    </row>
    <row r="81">
      <c r="B81" s="55">
        <v>10.0</v>
      </c>
      <c r="C81" s="56" t="s">
        <v>23</v>
      </c>
      <c r="D81" s="11"/>
      <c r="E81" s="206">
        <v>13.0</v>
      </c>
      <c r="F81" s="145"/>
      <c r="G81" s="25"/>
      <c r="H81" s="26"/>
      <c r="I81" s="59"/>
      <c r="J81" s="51"/>
      <c r="K81" s="146"/>
      <c r="L81" s="172"/>
      <c r="Q81" s="128"/>
    </row>
    <row r="82">
      <c r="B82" s="55">
        <v>11.0</v>
      </c>
      <c r="C82" s="56" t="s">
        <v>24</v>
      </c>
      <c r="D82" s="11"/>
      <c r="E82" s="60">
        <v>0.0</v>
      </c>
      <c r="F82" s="145"/>
      <c r="G82" s="208" t="s">
        <v>30</v>
      </c>
      <c r="H82" s="26"/>
      <c r="I82" s="209"/>
      <c r="J82" s="210"/>
      <c r="K82" s="211">
        <f>(K76*28)*E83</f>
        <v>16632</v>
      </c>
      <c r="L82" s="172"/>
      <c r="Q82" s="128"/>
    </row>
    <row r="83">
      <c r="B83" s="91">
        <v>12.0</v>
      </c>
      <c r="C83" s="92" t="s">
        <v>31</v>
      </c>
      <c r="D83" s="11"/>
      <c r="E83" s="93">
        <v>0.18</v>
      </c>
      <c r="F83" s="145"/>
      <c r="G83" s="208" t="s">
        <v>32</v>
      </c>
      <c r="H83" s="26"/>
      <c r="I83" s="209"/>
      <c r="J83" s="210"/>
      <c r="K83" s="211">
        <f>(K76*28)*E84</f>
        <v>924</v>
      </c>
      <c r="L83" s="172"/>
      <c r="Q83" s="128"/>
    </row>
    <row r="84">
      <c r="B84" s="96"/>
      <c r="C84" s="92" t="s">
        <v>43</v>
      </c>
      <c r="D84" s="11"/>
      <c r="E84" s="97">
        <v>0.01</v>
      </c>
      <c r="F84" s="145"/>
      <c r="G84" s="62"/>
      <c r="H84" s="63"/>
      <c r="I84" s="64"/>
      <c r="J84" s="65"/>
      <c r="K84" s="66"/>
      <c r="L84" s="172"/>
      <c r="Q84" s="128"/>
    </row>
    <row r="85">
      <c r="F85" s="129"/>
      <c r="G85" s="61"/>
      <c r="L85" s="172"/>
      <c r="Q85" s="128"/>
    </row>
    <row r="86">
      <c r="B86" s="148" t="s">
        <v>25</v>
      </c>
      <c r="C86" s="3"/>
      <c r="D86" s="3"/>
      <c r="E86" s="3"/>
      <c r="F86" s="3"/>
      <c r="G86" s="3"/>
      <c r="H86" s="3"/>
      <c r="I86" s="3"/>
      <c r="J86" s="3"/>
      <c r="K86" s="4"/>
      <c r="L86" s="172"/>
      <c r="Q86" s="128"/>
    </row>
    <row r="87">
      <c r="B87" s="5"/>
      <c r="C87" s="6"/>
      <c r="D87" s="6"/>
      <c r="E87" s="6"/>
      <c r="F87" s="6"/>
      <c r="G87" s="6"/>
      <c r="H87" s="6"/>
      <c r="I87" s="6"/>
      <c r="J87" s="6"/>
      <c r="K87" s="7"/>
      <c r="L87" s="172"/>
      <c r="Q87" s="128"/>
    </row>
    <row r="88">
      <c r="B88" s="8"/>
      <c r="C88" s="8"/>
      <c r="D88" s="8"/>
      <c r="E88" s="8"/>
      <c r="F88" s="129"/>
      <c r="G88" s="8"/>
      <c r="L88" s="172"/>
      <c r="Q88" s="128"/>
    </row>
    <row r="89">
      <c r="B89" s="8"/>
      <c r="C89" s="8"/>
      <c r="D89" s="8"/>
      <c r="E89" s="8"/>
      <c r="F89" s="129"/>
      <c r="G89" s="8"/>
      <c r="L89" s="172"/>
      <c r="Q89" s="128"/>
    </row>
    <row r="90">
      <c r="B90" s="8"/>
      <c r="C90" s="8"/>
      <c r="D90" s="8"/>
      <c r="E90" s="8"/>
      <c r="F90" s="129"/>
      <c r="G90" s="8"/>
      <c r="L90" s="172"/>
      <c r="Q90" s="128"/>
    </row>
    <row r="91">
      <c r="B91" s="8"/>
      <c r="C91" s="8"/>
      <c r="D91" s="8"/>
      <c r="E91" s="8"/>
      <c r="F91" s="129"/>
      <c r="G91" s="8"/>
      <c r="L91" s="172"/>
      <c r="Q91" s="128"/>
    </row>
    <row r="92">
      <c r="B92" s="8"/>
      <c r="C92" s="8"/>
      <c r="D92" s="8"/>
      <c r="E92" s="8"/>
      <c r="F92" s="129"/>
      <c r="G92" s="8"/>
      <c r="L92" s="172"/>
      <c r="Q92" s="128"/>
    </row>
    <row r="93">
      <c r="B93" s="8"/>
      <c r="C93" s="8"/>
      <c r="D93" s="8"/>
      <c r="E93" s="8"/>
      <c r="F93" s="129"/>
      <c r="G93" s="8"/>
      <c r="L93" s="172"/>
      <c r="Q93" s="128"/>
    </row>
    <row r="94">
      <c r="B94" s="8"/>
      <c r="C94" s="8"/>
      <c r="D94" s="8"/>
      <c r="E94" s="8"/>
      <c r="F94" s="129"/>
      <c r="G94" s="8"/>
      <c r="L94" s="172"/>
      <c r="Q94" s="128"/>
    </row>
    <row r="95">
      <c r="B95" s="8"/>
      <c r="C95" s="8"/>
      <c r="D95" s="8"/>
      <c r="E95" s="8"/>
      <c r="F95" s="129"/>
      <c r="G95" s="8"/>
      <c r="L95" s="172"/>
      <c r="Q95" s="128"/>
    </row>
    <row r="96">
      <c r="B96" s="8"/>
      <c r="C96" s="8"/>
      <c r="D96" s="8"/>
      <c r="E96" s="8"/>
      <c r="F96" s="129"/>
      <c r="G96" s="8"/>
      <c r="L96" s="172"/>
      <c r="Q96" s="128"/>
    </row>
    <row r="97">
      <c r="B97" s="8"/>
      <c r="C97" s="8"/>
      <c r="D97" s="8"/>
      <c r="E97" s="8"/>
      <c r="F97" s="129"/>
      <c r="G97" s="8"/>
      <c r="L97" s="172"/>
      <c r="Q97" s="128"/>
    </row>
    <row r="98">
      <c r="B98" s="8"/>
      <c r="C98" s="8"/>
      <c r="D98" s="8"/>
      <c r="E98" s="8"/>
      <c r="F98" s="129"/>
      <c r="G98" s="8"/>
      <c r="L98" s="172"/>
      <c r="Q98" s="128"/>
    </row>
    <row r="99">
      <c r="B99" s="8"/>
      <c r="C99" s="8"/>
      <c r="D99" s="8"/>
      <c r="E99" s="8"/>
      <c r="F99" s="129"/>
      <c r="G99" s="8"/>
      <c r="L99" s="172"/>
      <c r="Q99" s="128"/>
    </row>
    <row r="100">
      <c r="B100" s="8"/>
      <c r="C100" s="8"/>
      <c r="D100" s="8"/>
      <c r="E100" s="8"/>
      <c r="F100" s="129"/>
      <c r="G100" s="8"/>
      <c r="L100" s="172"/>
      <c r="Q100" s="128"/>
    </row>
    <row r="101">
      <c r="B101" s="8"/>
      <c r="C101" s="8"/>
      <c r="D101" s="8"/>
      <c r="E101" s="8"/>
      <c r="F101" s="129"/>
      <c r="G101" s="8"/>
      <c r="L101" s="172"/>
      <c r="Q101" s="128"/>
    </row>
    <row r="102">
      <c r="B102" s="8"/>
      <c r="C102" s="8"/>
      <c r="D102" s="8"/>
      <c r="E102" s="8"/>
      <c r="F102" s="129"/>
      <c r="G102" s="8"/>
      <c r="L102" s="172"/>
      <c r="Q102" s="128"/>
    </row>
    <row r="103">
      <c r="B103" s="8"/>
      <c r="C103" s="8"/>
      <c r="D103" s="8"/>
      <c r="E103" s="8"/>
      <c r="F103" s="129"/>
      <c r="G103" s="8"/>
      <c r="L103" s="172"/>
      <c r="Q103" s="128"/>
    </row>
    <row r="104">
      <c r="B104" s="8"/>
      <c r="C104" s="8"/>
      <c r="D104" s="8"/>
      <c r="E104" s="8"/>
      <c r="F104" s="129"/>
      <c r="G104" s="8"/>
      <c r="L104" s="172"/>
      <c r="Q104" s="128"/>
    </row>
    <row r="105">
      <c r="B105" s="8"/>
      <c r="C105" s="8"/>
      <c r="D105" s="8"/>
      <c r="E105" s="8"/>
      <c r="F105" s="129"/>
      <c r="G105" s="8"/>
      <c r="L105" s="172"/>
      <c r="Q105" s="128"/>
    </row>
    <row r="106">
      <c r="B106" s="8"/>
      <c r="C106" s="8"/>
      <c r="D106" s="8"/>
      <c r="E106" s="8"/>
      <c r="F106" s="129"/>
      <c r="G106" s="8"/>
      <c r="L106" s="172"/>
      <c r="Q106" s="128"/>
    </row>
    <row r="107">
      <c r="B107" s="8"/>
      <c r="C107" s="8"/>
      <c r="D107" s="8"/>
      <c r="E107" s="8"/>
      <c r="F107" s="129"/>
      <c r="G107" s="8"/>
      <c r="L107" s="172"/>
      <c r="Q107" s="128"/>
    </row>
    <row r="108">
      <c r="B108" s="8"/>
      <c r="C108" s="8"/>
      <c r="D108" s="8"/>
      <c r="E108" s="8"/>
      <c r="F108" s="129"/>
      <c r="G108" s="8"/>
      <c r="L108" s="172"/>
      <c r="Q108" s="128"/>
    </row>
    <row r="109">
      <c r="B109" s="8"/>
      <c r="C109" s="8"/>
      <c r="D109" s="8"/>
      <c r="E109" s="8"/>
      <c r="F109" s="129"/>
      <c r="G109" s="8"/>
      <c r="L109" s="172"/>
      <c r="Q109" s="128"/>
    </row>
    <row r="110">
      <c r="B110" s="8"/>
      <c r="C110" s="8"/>
      <c r="D110" s="8"/>
      <c r="E110" s="8"/>
      <c r="F110" s="129"/>
      <c r="G110" s="8"/>
      <c r="L110" s="172"/>
      <c r="Q110" s="128"/>
    </row>
    <row r="111">
      <c r="B111" s="8"/>
      <c r="C111" s="8"/>
      <c r="D111" s="8"/>
      <c r="E111" s="8"/>
      <c r="F111" s="129"/>
      <c r="G111" s="8"/>
      <c r="L111" s="172"/>
      <c r="Q111" s="128"/>
    </row>
    <row r="112">
      <c r="B112" s="8"/>
      <c r="C112" s="8"/>
      <c r="D112" s="8"/>
      <c r="E112" s="8"/>
      <c r="F112" s="129"/>
      <c r="G112" s="8"/>
      <c r="L112" s="172"/>
      <c r="Q112" s="128"/>
    </row>
    <row r="113">
      <c r="B113" s="8"/>
      <c r="C113" s="8"/>
      <c r="D113" s="8"/>
      <c r="E113" s="8"/>
      <c r="F113" s="129"/>
      <c r="G113" s="8"/>
      <c r="L113" s="172"/>
      <c r="Q113" s="128"/>
    </row>
    <row r="114">
      <c r="B114" s="8"/>
      <c r="C114" s="8"/>
      <c r="D114" s="8"/>
      <c r="E114" s="8"/>
      <c r="F114" s="129"/>
      <c r="G114" s="8"/>
      <c r="L114" s="172"/>
      <c r="Q114" s="128"/>
    </row>
    <row r="115">
      <c r="B115" s="8"/>
      <c r="C115" s="8"/>
      <c r="D115" s="8"/>
      <c r="E115" s="8"/>
      <c r="F115" s="129"/>
      <c r="G115" s="8"/>
      <c r="L115" s="172"/>
      <c r="Q115" s="128"/>
    </row>
    <row r="116">
      <c r="B116" s="8"/>
      <c r="C116" s="8"/>
      <c r="D116" s="8"/>
      <c r="E116" s="8"/>
      <c r="F116" s="129"/>
      <c r="G116" s="8"/>
      <c r="L116" s="172"/>
      <c r="Q116" s="128"/>
    </row>
    <row r="117">
      <c r="B117" s="8"/>
      <c r="C117" s="8"/>
      <c r="D117" s="8"/>
      <c r="E117" s="8"/>
      <c r="F117" s="129"/>
      <c r="G117" s="8"/>
      <c r="L117" s="172"/>
      <c r="Q117" s="128"/>
    </row>
    <row r="118">
      <c r="B118" s="8"/>
      <c r="C118" s="8"/>
      <c r="D118" s="8"/>
      <c r="E118" s="8"/>
      <c r="F118" s="129"/>
      <c r="G118" s="8"/>
      <c r="L118" s="172"/>
      <c r="Q118" s="128"/>
    </row>
    <row r="119">
      <c r="B119" s="8"/>
      <c r="C119" s="8"/>
      <c r="D119" s="8"/>
      <c r="E119" s="8"/>
      <c r="F119" s="129"/>
      <c r="G119" s="8"/>
      <c r="L119" s="172"/>
      <c r="Q119" s="128"/>
    </row>
    <row r="120">
      <c r="B120" s="8"/>
      <c r="C120" s="8"/>
      <c r="D120" s="8"/>
      <c r="E120" s="8"/>
      <c r="F120" s="129"/>
      <c r="G120" s="8"/>
      <c r="L120" s="172"/>
      <c r="Q120" s="128"/>
    </row>
    <row r="121">
      <c r="B121" s="8"/>
      <c r="C121" s="8"/>
      <c r="D121" s="8"/>
      <c r="E121" s="8"/>
      <c r="F121" s="129"/>
      <c r="G121" s="8"/>
      <c r="L121" s="172"/>
      <c r="Q121" s="128"/>
    </row>
    <row r="122">
      <c r="B122" s="8"/>
      <c r="C122" s="8"/>
      <c r="D122" s="8"/>
      <c r="E122" s="8"/>
      <c r="F122" s="129"/>
      <c r="G122" s="8"/>
      <c r="L122" s="172"/>
      <c r="Q122" s="128"/>
    </row>
    <row r="123">
      <c r="B123" s="8"/>
      <c r="C123" s="8"/>
      <c r="D123" s="8"/>
      <c r="E123" s="8"/>
      <c r="F123" s="129"/>
      <c r="G123" s="8"/>
      <c r="L123" s="172"/>
      <c r="Q123" s="128"/>
    </row>
    <row r="124">
      <c r="B124" s="8"/>
      <c r="C124" s="8"/>
      <c r="D124" s="8"/>
      <c r="E124" s="8"/>
      <c r="F124" s="129"/>
      <c r="G124" s="8"/>
      <c r="L124" s="172"/>
      <c r="Q124" s="128"/>
    </row>
    <row r="125">
      <c r="B125" s="8"/>
      <c r="C125" s="8"/>
      <c r="D125" s="8"/>
      <c r="E125" s="8"/>
      <c r="F125" s="129"/>
      <c r="G125" s="8"/>
      <c r="L125" s="172"/>
      <c r="Q125" s="128"/>
    </row>
    <row r="126">
      <c r="B126" s="8"/>
      <c r="C126" s="8"/>
      <c r="D126" s="8"/>
      <c r="E126" s="8"/>
      <c r="F126" s="129"/>
      <c r="G126" s="8"/>
      <c r="L126" s="172"/>
      <c r="Q126" s="128"/>
    </row>
    <row r="127">
      <c r="B127" s="8"/>
      <c r="C127" s="8"/>
      <c r="D127" s="8"/>
      <c r="E127" s="8"/>
      <c r="F127" s="129"/>
      <c r="G127" s="8"/>
      <c r="L127" s="172"/>
      <c r="Q127" s="128"/>
    </row>
    <row r="128">
      <c r="B128" s="8"/>
      <c r="C128" s="8"/>
      <c r="D128" s="8"/>
      <c r="E128" s="8"/>
      <c r="F128" s="129"/>
      <c r="G128" s="8"/>
      <c r="L128" s="172"/>
      <c r="Q128" s="128"/>
    </row>
    <row r="129">
      <c r="B129" s="8"/>
      <c r="C129" s="8"/>
      <c r="D129" s="8"/>
      <c r="E129" s="8"/>
      <c r="F129" s="129"/>
      <c r="G129" s="8"/>
      <c r="L129" s="172"/>
      <c r="Q129" s="128"/>
    </row>
    <row r="130">
      <c r="B130" s="8"/>
      <c r="C130" s="8"/>
      <c r="D130" s="8"/>
      <c r="E130" s="8"/>
      <c r="F130" s="129"/>
      <c r="G130" s="8"/>
      <c r="L130" s="172"/>
      <c r="Q130" s="128"/>
    </row>
    <row r="131">
      <c r="B131" s="8"/>
      <c r="C131" s="8"/>
      <c r="D131" s="8"/>
      <c r="E131" s="8"/>
      <c r="F131" s="129"/>
      <c r="G131" s="8"/>
      <c r="L131" s="172"/>
      <c r="Q131" s="128"/>
    </row>
    <row r="132">
      <c r="B132" s="8"/>
      <c r="C132" s="8"/>
      <c r="D132" s="8"/>
      <c r="E132" s="8"/>
      <c r="F132" s="129"/>
      <c r="G132" s="8"/>
      <c r="L132" s="172"/>
      <c r="Q132" s="128"/>
    </row>
    <row r="133">
      <c r="B133" s="8"/>
      <c r="C133" s="8"/>
      <c r="D133" s="8"/>
      <c r="E133" s="8"/>
      <c r="F133" s="129"/>
      <c r="G133" s="8"/>
      <c r="L133" s="172"/>
      <c r="Q133" s="128"/>
    </row>
    <row r="134">
      <c r="B134" s="8"/>
      <c r="C134" s="8"/>
      <c r="D134" s="8"/>
      <c r="E134" s="8"/>
      <c r="F134" s="129"/>
      <c r="G134" s="8"/>
      <c r="L134" s="172"/>
      <c r="Q134" s="128"/>
    </row>
    <row r="135">
      <c r="B135" s="8"/>
      <c r="C135" s="8"/>
      <c r="D135" s="8"/>
      <c r="E135" s="8"/>
      <c r="F135" s="129"/>
      <c r="G135" s="8"/>
      <c r="L135" s="172"/>
      <c r="Q135" s="128"/>
    </row>
    <row r="136">
      <c r="B136" s="8"/>
      <c r="C136" s="8"/>
      <c r="D136" s="8"/>
      <c r="E136" s="8"/>
      <c r="F136" s="129"/>
      <c r="G136" s="8"/>
      <c r="L136" s="172"/>
      <c r="Q136" s="128"/>
    </row>
    <row r="137">
      <c r="B137" s="8"/>
      <c r="C137" s="8"/>
      <c r="D137" s="8"/>
      <c r="E137" s="8"/>
      <c r="F137" s="129"/>
      <c r="G137" s="8"/>
      <c r="L137" s="172"/>
      <c r="Q137" s="128"/>
    </row>
    <row r="138">
      <c r="B138" s="8"/>
      <c r="C138" s="8"/>
      <c r="D138" s="8"/>
      <c r="E138" s="8"/>
      <c r="F138" s="129"/>
      <c r="G138" s="8"/>
      <c r="L138" s="172"/>
      <c r="Q138" s="128"/>
    </row>
    <row r="139">
      <c r="B139" s="8"/>
      <c r="C139" s="8"/>
      <c r="D139" s="8"/>
      <c r="E139" s="8"/>
      <c r="F139" s="129"/>
      <c r="G139" s="8"/>
      <c r="L139" s="172"/>
      <c r="Q139" s="128"/>
    </row>
    <row r="140">
      <c r="B140" s="8"/>
      <c r="C140" s="8"/>
      <c r="D140" s="8"/>
      <c r="E140" s="8"/>
      <c r="F140" s="129"/>
      <c r="G140" s="8"/>
      <c r="L140" s="172"/>
      <c r="Q140" s="128"/>
    </row>
    <row r="141">
      <c r="B141" s="8"/>
      <c r="C141" s="8"/>
      <c r="D141" s="8"/>
      <c r="E141" s="8"/>
      <c r="F141" s="129"/>
      <c r="G141" s="8"/>
      <c r="L141" s="172"/>
      <c r="Q141" s="128"/>
    </row>
    <row r="142">
      <c r="B142" s="8"/>
      <c r="C142" s="8"/>
      <c r="D142" s="8"/>
      <c r="E142" s="8"/>
      <c r="F142" s="129"/>
      <c r="G142" s="8"/>
      <c r="L142" s="172"/>
      <c r="Q142" s="128"/>
    </row>
    <row r="143">
      <c r="B143" s="8"/>
      <c r="C143" s="8"/>
      <c r="D143" s="8"/>
      <c r="E143" s="8"/>
      <c r="F143" s="129"/>
      <c r="G143" s="8"/>
      <c r="L143" s="172"/>
      <c r="Q143" s="128"/>
    </row>
    <row r="144">
      <c r="B144" s="8"/>
      <c r="C144" s="8"/>
      <c r="D144" s="8"/>
      <c r="E144" s="8"/>
      <c r="F144" s="129"/>
      <c r="G144" s="8"/>
      <c r="L144" s="172"/>
      <c r="Q144" s="128"/>
    </row>
    <row r="145">
      <c r="B145" s="8"/>
      <c r="C145" s="8"/>
      <c r="D145" s="8"/>
      <c r="E145" s="8"/>
      <c r="F145" s="129"/>
      <c r="G145" s="8"/>
      <c r="L145" s="172"/>
      <c r="Q145" s="128"/>
    </row>
    <row r="146">
      <c r="B146" s="8"/>
      <c r="C146" s="8"/>
      <c r="D146" s="8"/>
      <c r="E146" s="8"/>
      <c r="F146" s="129"/>
      <c r="G146" s="8"/>
      <c r="L146" s="172"/>
      <c r="Q146" s="128"/>
    </row>
    <row r="147">
      <c r="B147" s="8"/>
      <c r="C147" s="8"/>
      <c r="D147" s="8"/>
      <c r="E147" s="8"/>
      <c r="F147" s="129"/>
      <c r="G147" s="8"/>
      <c r="L147" s="172"/>
      <c r="Q147" s="128"/>
    </row>
    <row r="148">
      <c r="B148" s="8"/>
      <c r="C148" s="8"/>
      <c r="D148" s="8"/>
      <c r="E148" s="8"/>
      <c r="F148" s="129"/>
      <c r="G148" s="8"/>
      <c r="L148" s="172"/>
      <c r="Q148" s="128"/>
    </row>
    <row r="149">
      <c r="B149" s="8"/>
      <c r="C149" s="8"/>
      <c r="D149" s="8"/>
      <c r="E149" s="8"/>
      <c r="F149" s="129"/>
      <c r="G149" s="8"/>
      <c r="L149" s="172"/>
      <c r="Q149" s="128"/>
    </row>
    <row r="150">
      <c r="B150" s="8"/>
      <c r="C150" s="8"/>
      <c r="D150" s="8"/>
      <c r="E150" s="8"/>
      <c r="F150" s="129"/>
      <c r="G150" s="8"/>
      <c r="L150" s="172"/>
      <c r="Q150" s="128"/>
    </row>
    <row r="151">
      <c r="B151" s="8"/>
      <c r="C151" s="8"/>
      <c r="D151" s="8"/>
      <c r="E151" s="8"/>
      <c r="F151" s="129"/>
      <c r="G151" s="8"/>
      <c r="L151" s="172"/>
      <c r="Q151" s="128"/>
    </row>
    <row r="152">
      <c r="B152" s="8"/>
      <c r="C152" s="8"/>
      <c r="D152" s="8"/>
      <c r="E152" s="8"/>
      <c r="F152" s="129"/>
      <c r="G152" s="8"/>
      <c r="L152" s="172"/>
      <c r="Q152" s="128"/>
    </row>
    <row r="153">
      <c r="B153" s="8"/>
      <c r="C153" s="8"/>
      <c r="D153" s="8"/>
      <c r="E153" s="8"/>
      <c r="F153" s="129"/>
      <c r="G153" s="8"/>
      <c r="L153" s="172"/>
      <c r="Q153" s="128"/>
    </row>
    <row r="154">
      <c r="B154" s="8"/>
      <c r="C154" s="8"/>
      <c r="D154" s="8"/>
      <c r="E154" s="8"/>
      <c r="F154" s="129"/>
      <c r="G154" s="8"/>
      <c r="L154" s="172"/>
      <c r="Q154" s="128"/>
    </row>
    <row r="155">
      <c r="B155" s="8"/>
      <c r="C155" s="8"/>
      <c r="D155" s="8"/>
      <c r="E155" s="8"/>
      <c r="F155" s="129"/>
      <c r="G155" s="8"/>
      <c r="L155" s="172"/>
      <c r="Q155" s="128"/>
    </row>
    <row r="156">
      <c r="B156" s="8"/>
      <c r="C156" s="8"/>
      <c r="D156" s="8"/>
      <c r="E156" s="8"/>
      <c r="F156" s="129"/>
      <c r="G156" s="8"/>
      <c r="L156" s="172"/>
      <c r="Q156" s="128"/>
    </row>
    <row r="157">
      <c r="B157" s="8"/>
      <c r="C157" s="8"/>
      <c r="D157" s="8"/>
      <c r="E157" s="8"/>
      <c r="F157" s="129"/>
      <c r="G157" s="8"/>
      <c r="L157" s="172"/>
      <c r="Q157" s="128"/>
    </row>
    <row r="158">
      <c r="B158" s="8"/>
      <c r="C158" s="8"/>
      <c r="D158" s="8"/>
      <c r="E158" s="8"/>
      <c r="F158" s="129"/>
      <c r="G158" s="8"/>
      <c r="L158" s="172"/>
      <c r="Q158" s="128"/>
    </row>
    <row r="159">
      <c r="B159" s="8"/>
      <c r="C159" s="8"/>
      <c r="D159" s="8"/>
      <c r="E159" s="8"/>
      <c r="F159" s="129"/>
      <c r="G159" s="8"/>
      <c r="L159" s="172"/>
      <c r="Q159" s="128"/>
    </row>
    <row r="160">
      <c r="B160" s="8"/>
      <c r="C160" s="8"/>
      <c r="D160" s="8"/>
      <c r="E160" s="8"/>
      <c r="F160" s="129"/>
      <c r="G160" s="8"/>
      <c r="L160" s="172"/>
      <c r="Q160" s="128"/>
    </row>
    <row r="161">
      <c r="B161" s="8"/>
      <c r="C161" s="8"/>
      <c r="D161" s="8"/>
      <c r="E161" s="8"/>
      <c r="F161" s="129"/>
      <c r="G161" s="8"/>
      <c r="L161" s="172"/>
      <c r="Q161" s="128"/>
    </row>
    <row r="162">
      <c r="B162" s="8"/>
      <c r="C162" s="8"/>
      <c r="D162" s="8"/>
      <c r="E162" s="8"/>
      <c r="F162" s="129"/>
      <c r="G162" s="8"/>
      <c r="L162" s="172"/>
      <c r="Q162" s="128"/>
    </row>
    <row r="163">
      <c r="B163" s="8"/>
      <c r="C163" s="8"/>
      <c r="D163" s="8"/>
      <c r="E163" s="8"/>
      <c r="F163" s="129"/>
      <c r="G163" s="8"/>
      <c r="L163" s="172"/>
      <c r="Q163" s="128"/>
    </row>
    <row r="164">
      <c r="B164" s="8"/>
      <c r="C164" s="8"/>
      <c r="D164" s="8"/>
      <c r="E164" s="8"/>
      <c r="F164" s="129"/>
      <c r="G164" s="8"/>
      <c r="L164" s="172"/>
      <c r="Q164" s="128"/>
    </row>
    <row r="165">
      <c r="B165" s="8"/>
      <c r="C165" s="8"/>
      <c r="D165" s="8"/>
      <c r="E165" s="8"/>
      <c r="F165" s="129"/>
      <c r="G165" s="8"/>
      <c r="L165" s="172"/>
      <c r="Q165" s="128"/>
    </row>
    <row r="166">
      <c r="B166" s="8"/>
      <c r="C166" s="8"/>
      <c r="D166" s="8"/>
      <c r="E166" s="8"/>
      <c r="F166" s="129"/>
      <c r="G166" s="8"/>
      <c r="L166" s="172"/>
      <c r="Q166" s="128"/>
    </row>
    <row r="167">
      <c r="B167" s="8"/>
      <c r="C167" s="8"/>
      <c r="D167" s="8"/>
      <c r="E167" s="8"/>
      <c r="F167" s="129"/>
      <c r="G167" s="8"/>
      <c r="L167" s="172"/>
      <c r="Q167" s="128"/>
    </row>
    <row r="168">
      <c r="B168" s="8"/>
      <c r="C168" s="8"/>
      <c r="D168" s="8"/>
      <c r="E168" s="8"/>
      <c r="F168" s="129"/>
      <c r="G168" s="8"/>
      <c r="L168" s="172"/>
      <c r="Q168" s="128"/>
    </row>
    <row r="169">
      <c r="B169" s="8"/>
      <c r="C169" s="8"/>
      <c r="D169" s="8"/>
      <c r="E169" s="8"/>
      <c r="F169" s="129"/>
      <c r="G169" s="8"/>
      <c r="L169" s="172"/>
      <c r="Q169" s="128"/>
    </row>
    <row r="170">
      <c r="B170" s="8"/>
      <c r="C170" s="8"/>
      <c r="D170" s="8"/>
      <c r="E170" s="8"/>
      <c r="F170" s="129"/>
      <c r="G170" s="8"/>
      <c r="L170" s="172"/>
      <c r="Q170" s="128"/>
    </row>
    <row r="171">
      <c r="B171" s="8"/>
      <c r="C171" s="8"/>
      <c r="D171" s="8"/>
      <c r="E171" s="8"/>
      <c r="F171" s="129"/>
      <c r="G171" s="8"/>
      <c r="L171" s="172"/>
      <c r="Q171" s="128"/>
    </row>
    <row r="172">
      <c r="B172" s="8"/>
      <c r="C172" s="8"/>
      <c r="D172" s="8"/>
      <c r="E172" s="8"/>
      <c r="F172" s="129"/>
      <c r="G172" s="8"/>
      <c r="L172" s="172"/>
      <c r="Q172" s="128"/>
    </row>
    <row r="173">
      <c r="B173" s="8"/>
      <c r="C173" s="8"/>
      <c r="D173" s="8"/>
      <c r="E173" s="8"/>
      <c r="F173" s="129"/>
      <c r="G173" s="8"/>
      <c r="L173" s="172"/>
      <c r="Q173" s="128"/>
    </row>
    <row r="174">
      <c r="B174" s="8"/>
      <c r="C174" s="8"/>
      <c r="D174" s="8"/>
      <c r="E174" s="8"/>
      <c r="F174" s="129"/>
      <c r="G174" s="8"/>
      <c r="L174" s="172"/>
      <c r="Q174" s="128"/>
    </row>
    <row r="175">
      <c r="B175" s="8"/>
      <c r="C175" s="8"/>
      <c r="D175" s="8"/>
      <c r="E175" s="8"/>
      <c r="F175" s="129"/>
      <c r="G175" s="8"/>
      <c r="L175" s="172"/>
      <c r="Q175" s="128"/>
    </row>
    <row r="176">
      <c r="B176" s="8"/>
      <c r="C176" s="8"/>
      <c r="D176" s="8"/>
      <c r="E176" s="8"/>
      <c r="F176" s="129"/>
      <c r="G176" s="8"/>
      <c r="L176" s="172"/>
      <c r="Q176" s="128"/>
    </row>
    <row r="177">
      <c r="B177" s="8"/>
      <c r="C177" s="8"/>
      <c r="D177" s="8"/>
      <c r="E177" s="8"/>
      <c r="F177" s="129"/>
      <c r="G177" s="8"/>
      <c r="L177" s="172"/>
      <c r="Q177" s="128"/>
    </row>
    <row r="178">
      <c r="B178" s="8"/>
      <c r="C178" s="8"/>
      <c r="D178" s="8"/>
      <c r="E178" s="8"/>
      <c r="F178" s="129"/>
      <c r="G178" s="8"/>
      <c r="L178" s="172"/>
      <c r="Q178" s="128"/>
    </row>
    <row r="179">
      <c r="B179" s="8"/>
      <c r="C179" s="8"/>
      <c r="D179" s="8"/>
      <c r="E179" s="8"/>
      <c r="F179" s="129"/>
      <c r="G179" s="8"/>
      <c r="L179" s="172"/>
      <c r="Q179" s="128"/>
    </row>
    <row r="180">
      <c r="B180" s="8"/>
      <c r="C180" s="8"/>
      <c r="D180" s="8"/>
      <c r="E180" s="8"/>
      <c r="F180" s="129"/>
      <c r="G180" s="8"/>
      <c r="L180" s="172"/>
      <c r="Q180" s="128"/>
    </row>
    <row r="181">
      <c r="B181" s="8"/>
      <c r="C181" s="8"/>
      <c r="D181" s="8"/>
      <c r="E181" s="8"/>
      <c r="F181" s="129"/>
      <c r="G181" s="8"/>
      <c r="L181" s="172"/>
      <c r="Q181" s="128"/>
    </row>
    <row r="182">
      <c r="B182" s="8"/>
      <c r="C182" s="8"/>
      <c r="D182" s="8"/>
      <c r="E182" s="8"/>
      <c r="F182" s="129"/>
      <c r="G182" s="8"/>
      <c r="L182" s="172"/>
      <c r="Q182" s="128"/>
    </row>
    <row r="183">
      <c r="B183" s="8"/>
      <c r="C183" s="8"/>
      <c r="D183" s="8"/>
      <c r="E183" s="8"/>
      <c r="F183" s="129"/>
      <c r="G183" s="8"/>
      <c r="L183" s="172"/>
      <c r="Q183" s="128"/>
    </row>
    <row r="184">
      <c r="B184" s="8"/>
      <c r="C184" s="8"/>
      <c r="D184" s="8"/>
      <c r="E184" s="8"/>
      <c r="F184" s="129"/>
      <c r="G184" s="8"/>
      <c r="L184" s="172"/>
      <c r="Q184" s="128"/>
    </row>
    <row r="185">
      <c r="B185" s="8"/>
      <c r="C185" s="8"/>
      <c r="D185" s="8"/>
      <c r="E185" s="8"/>
      <c r="F185" s="129"/>
      <c r="G185" s="8"/>
      <c r="L185" s="172"/>
      <c r="Q185" s="128"/>
    </row>
    <row r="186">
      <c r="B186" s="8"/>
      <c r="C186" s="8"/>
      <c r="D186" s="8"/>
      <c r="E186" s="8"/>
      <c r="F186" s="129"/>
      <c r="G186" s="8"/>
      <c r="L186" s="172"/>
      <c r="Q186" s="128"/>
    </row>
    <row r="187">
      <c r="B187" s="8"/>
      <c r="C187" s="8"/>
      <c r="D187" s="8"/>
      <c r="E187" s="8"/>
      <c r="F187" s="129"/>
      <c r="G187" s="8"/>
      <c r="L187" s="172"/>
      <c r="Q187" s="128"/>
    </row>
    <row r="188">
      <c r="B188" s="8"/>
      <c r="C188" s="8"/>
      <c r="D188" s="8"/>
      <c r="E188" s="8"/>
      <c r="F188" s="129"/>
      <c r="G188" s="8"/>
      <c r="L188" s="172"/>
      <c r="Q188" s="128"/>
    </row>
    <row r="189">
      <c r="B189" s="8"/>
      <c r="C189" s="8"/>
      <c r="D189" s="8"/>
      <c r="E189" s="8"/>
      <c r="F189" s="129"/>
      <c r="G189" s="8"/>
      <c r="L189" s="172"/>
      <c r="Q189" s="128"/>
    </row>
    <row r="190">
      <c r="B190" s="8"/>
      <c r="C190" s="8"/>
      <c r="D190" s="8"/>
      <c r="E190" s="8"/>
      <c r="F190" s="129"/>
      <c r="G190" s="8"/>
      <c r="L190" s="172"/>
      <c r="Q190" s="128"/>
    </row>
    <row r="191">
      <c r="B191" s="8"/>
      <c r="C191" s="8"/>
      <c r="D191" s="8"/>
      <c r="E191" s="8"/>
      <c r="F191" s="129"/>
      <c r="G191" s="8"/>
      <c r="L191" s="172"/>
      <c r="Q191" s="128"/>
    </row>
    <row r="192">
      <c r="B192" s="8"/>
      <c r="C192" s="8"/>
      <c r="D192" s="8"/>
      <c r="E192" s="8"/>
      <c r="F192" s="129"/>
      <c r="G192" s="8"/>
      <c r="L192" s="172"/>
      <c r="Q192" s="128"/>
    </row>
    <row r="193">
      <c r="B193" s="8"/>
      <c r="C193" s="8"/>
      <c r="D193" s="8"/>
      <c r="E193" s="8"/>
      <c r="F193" s="129"/>
      <c r="G193" s="8"/>
      <c r="L193" s="172"/>
      <c r="Q193" s="128"/>
    </row>
    <row r="194">
      <c r="B194" s="8"/>
      <c r="C194" s="8"/>
      <c r="D194" s="8"/>
      <c r="E194" s="8"/>
      <c r="F194" s="129"/>
      <c r="G194" s="8"/>
      <c r="L194" s="172"/>
      <c r="Q194" s="128"/>
    </row>
    <row r="195">
      <c r="B195" s="8"/>
      <c r="C195" s="8"/>
      <c r="D195" s="8"/>
      <c r="E195" s="8"/>
      <c r="F195" s="129"/>
      <c r="G195" s="8"/>
      <c r="L195" s="172"/>
      <c r="Q195" s="128"/>
    </row>
    <row r="196">
      <c r="B196" s="8"/>
      <c r="C196" s="8"/>
      <c r="D196" s="8"/>
      <c r="E196" s="8"/>
      <c r="F196" s="129"/>
      <c r="G196" s="8"/>
      <c r="L196" s="172"/>
      <c r="Q196" s="128"/>
    </row>
    <row r="197">
      <c r="B197" s="8"/>
      <c r="C197" s="8"/>
      <c r="D197" s="8"/>
      <c r="E197" s="8"/>
      <c r="F197" s="129"/>
      <c r="G197" s="8"/>
      <c r="L197" s="172"/>
      <c r="Q197" s="128"/>
    </row>
    <row r="198">
      <c r="B198" s="8"/>
      <c r="C198" s="8"/>
      <c r="D198" s="8"/>
      <c r="E198" s="8"/>
      <c r="F198" s="129"/>
      <c r="G198" s="8"/>
      <c r="L198" s="172"/>
      <c r="Q198" s="128"/>
    </row>
    <row r="199">
      <c r="B199" s="8"/>
      <c r="C199" s="8"/>
      <c r="D199" s="8"/>
      <c r="E199" s="8"/>
      <c r="F199" s="129"/>
      <c r="G199" s="8"/>
      <c r="L199" s="172"/>
      <c r="Q199" s="128"/>
    </row>
    <row r="200">
      <c r="B200" s="8"/>
      <c r="C200" s="8"/>
      <c r="D200" s="8"/>
      <c r="E200" s="8"/>
      <c r="F200" s="129"/>
      <c r="G200" s="8"/>
      <c r="L200" s="172"/>
      <c r="Q200" s="128"/>
    </row>
    <row r="201">
      <c r="B201" s="8"/>
      <c r="C201" s="8"/>
      <c r="D201" s="8"/>
      <c r="E201" s="8"/>
      <c r="F201" s="129"/>
      <c r="G201" s="8"/>
      <c r="L201" s="172"/>
      <c r="Q201" s="128"/>
    </row>
    <row r="202">
      <c r="B202" s="8"/>
      <c r="C202" s="8"/>
      <c r="D202" s="8"/>
      <c r="E202" s="8"/>
      <c r="F202" s="129"/>
      <c r="G202" s="8"/>
      <c r="L202" s="172"/>
      <c r="Q202" s="128"/>
    </row>
    <row r="203">
      <c r="B203" s="8"/>
      <c r="C203" s="8"/>
      <c r="D203" s="8"/>
      <c r="E203" s="8"/>
      <c r="F203" s="129"/>
      <c r="G203" s="8"/>
      <c r="L203" s="172"/>
      <c r="Q203" s="128"/>
    </row>
    <row r="204">
      <c r="B204" s="8"/>
      <c r="C204" s="8"/>
      <c r="D204" s="8"/>
      <c r="E204" s="8"/>
      <c r="F204" s="129"/>
      <c r="G204" s="8"/>
      <c r="L204" s="172"/>
      <c r="Q204" s="128"/>
    </row>
    <row r="205">
      <c r="B205" s="8"/>
      <c r="C205" s="8"/>
      <c r="D205" s="8"/>
      <c r="E205" s="8"/>
      <c r="F205" s="129"/>
      <c r="G205" s="8"/>
      <c r="L205" s="172"/>
      <c r="Q205" s="128"/>
    </row>
    <row r="206">
      <c r="B206" s="8"/>
      <c r="C206" s="8"/>
      <c r="D206" s="8"/>
      <c r="E206" s="8"/>
      <c r="F206" s="129"/>
      <c r="G206" s="8"/>
      <c r="L206" s="172"/>
      <c r="Q206" s="128"/>
    </row>
    <row r="207">
      <c r="B207" s="8"/>
      <c r="C207" s="8"/>
      <c r="D207" s="8"/>
      <c r="E207" s="8"/>
      <c r="F207" s="129"/>
      <c r="G207" s="8"/>
      <c r="L207" s="172"/>
      <c r="Q207" s="128"/>
    </row>
    <row r="208">
      <c r="B208" s="8"/>
      <c r="C208" s="8"/>
      <c r="D208" s="8"/>
      <c r="E208" s="8"/>
      <c r="F208" s="129"/>
      <c r="G208" s="8"/>
      <c r="L208" s="172"/>
      <c r="Q208" s="128"/>
    </row>
    <row r="209">
      <c r="B209" s="8"/>
      <c r="C209" s="8"/>
      <c r="D209" s="8"/>
      <c r="E209" s="8"/>
      <c r="F209" s="129"/>
      <c r="G209" s="8"/>
      <c r="L209" s="172"/>
      <c r="Q209" s="128"/>
    </row>
    <row r="210">
      <c r="B210" s="8"/>
      <c r="C210" s="8"/>
      <c r="D210" s="8"/>
      <c r="E210" s="8"/>
      <c r="F210" s="129"/>
      <c r="G210" s="8"/>
      <c r="L210" s="172"/>
      <c r="Q210" s="128"/>
    </row>
    <row r="211">
      <c r="B211" s="8"/>
      <c r="C211" s="8"/>
      <c r="D211" s="8"/>
      <c r="E211" s="8"/>
      <c r="F211" s="129"/>
      <c r="G211" s="8"/>
      <c r="L211" s="172"/>
      <c r="Q211" s="128"/>
    </row>
    <row r="212">
      <c r="B212" s="8"/>
      <c r="C212" s="8"/>
      <c r="D212" s="8"/>
      <c r="E212" s="8"/>
      <c r="F212" s="129"/>
      <c r="G212" s="8"/>
      <c r="L212" s="172"/>
      <c r="Q212" s="128"/>
    </row>
    <row r="213">
      <c r="B213" s="8"/>
      <c r="C213" s="8"/>
      <c r="D213" s="8"/>
      <c r="E213" s="8"/>
      <c r="F213" s="129"/>
      <c r="G213" s="8"/>
      <c r="L213" s="172"/>
      <c r="Q213" s="128"/>
    </row>
    <row r="214">
      <c r="B214" s="8"/>
      <c r="C214" s="8"/>
      <c r="D214" s="8"/>
      <c r="E214" s="8"/>
      <c r="F214" s="129"/>
      <c r="G214" s="8"/>
      <c r="L214" s="172"/>
      <c r="Q214" s="128"/>
    </row>
    <row r="215">
      <c r="B215" s="8"/>
      <c r="C215" s="8"/>
      <c r="D215" s="8"/>
      <c r="E215" s="8"/>
      <c r="F215" s="129"/>
      <c r="G215" s="8"/>
      <c r="L215" s="172"/>
      <c r="Q215" s="128"/>
    </row>
    <row r="216">
      <c r="B216" s="8"/>
      <c r="C216" s="8"/>
      <c r="D216" s="8"/>
      <c r="E216" s="8"/>
      <c r="F216" s="129"/>
      <c r="G216" s="8"/>
      <c r="L216" s="172"/>
      <c r="Q216" s="128"/>
    </row>
    <row r="217">
      <c r="B217" s="8"/>
      <c r="C217" s="8"/>
      <c r="D217" s="8"/>
      <c r="E217" s="8"/>
      <c r="F217" s="129"/>
      <c r="G217" s="8"/>
      <c r="L217" s="172"/>
      <c r="Q217" s="128"/>
    </row>
    <row r="218">
      <c r="B218" s="8"/>
      <c r="C218" s="8"/>
      <c r="D218" s="8"/>
      <c r="E218" s="8"/>
      <c r="F218" s="129"/>
      <c r="G218" s="8"/>
      <c r="L218" s="172"/>
      <c r="Q218" s="128"/>
    </row>
    <row r="219">
      <c r="B219" s="8"/>
      <c r="C219" s="8"/>
      <c r="D219" s="8"/>
      <c r="E219" s="8"/>
      <c r="F219" s="129"/>
      <c r="G219" s="8"/>
      <c r="L219" s="172"/>
      <c r="Q219" s="128"/>
    </row>
    <row r="220">
      <c r="B220" s="8"/>
      <c r="C220" s="8"/>
      <c r="D220" s="8"/>
      <c r="E220" s="8"/>
      <c r="F220" s="129"/>
      <c r="G220" s="8"/>
      <c r="L220" s="172"/>
      <c r="Q220" s="128"/>
    </row>
    <row r="221">
      <c r="B221" s="8"/>
      <c r="C221" s="8"/>
      <c r="D221" s="8"/>
      <c r="E221" s="8"/>
      <c r="F221" s="129"/>
      <c r="G221" s="8"/>
      <c r="L221" s="172"/>
      <c r="Q221" s="128"/>
    </row>
    <row r="222">
      <c r="B222" s="8"/>
      <c r="C222" s="8"/>
      <c r="D222" s="8"/>
      <c r="E222" s="8"/>
      <c r="F222" s="129"/>
      <c r="G222" s="8"/>
      <c r="L222" s="172"/>
      <c r="Q222" s="128"/>
    </row>
    <row r="223">
      <c r="B223" s="8"/>
      <c r="C223" s="8"/>
      <c r="D223" s="8"/>
      <c r="E223" s="8"/>
      <c r="F223" s="129"/>
      <c r="G223" s="8"/>
      <c r="L223" s="172"/>
      <c r="Q223" s="128"/>
    </row>
    <row r="224">
      <c r="B224" s="8"/>
      <c r="C224" s="8"/>
      <c r="D224" s="8"/>
      <c r="E224" s="8"/>
      <c r="F224" s="129"/>
      <c r="G224" s="8"/>
      <c r="L224" s="172"/>
      <c r="Q224" s="128"/>
    </row>
    <row r="225">
      <c r="B225" s="8"/>
      <c r="C225" s="8"/>
      <c r="D225" s="8"/>
      <c r="E225" s="8"/>
      <c r="F225" s="129"/>
      <c r="G225" s="8"/>
      <c r="L225" s="172"/>
      <c r="Q225" s="128"/>
    </row>
    <row r="226">
      <c r="B226" s="8"/>
      <c r="C226" s="8"/>
      <c r="D226" s="8"/>
      <c r="E226" s="8"/>
      <c r="F226" s="129"/>
      <c r="G226" s="8"/>
      <c r="L226" s="172"/>
      <c r="Q226" s="128"/>
    </row>
    <row r="227">
      <c r="B227" s="8"/>
      <c r="C227" s="8"/>
      <c r="D227" s="8"/>
      <c r="E227" s="8"/>
      <c r="F227" s="129"/>
      <c r="G227" s="8"/>
      <c r="L227" s="172"/>
      <c r="Q227" s="128"/>
    </row>
    <row r="228">
      <c r="B228" s="8"/>
      <c r="C228" s="8"/>
      <c r="D228" s="8"/>
      <c r="E228" s="8"/>
      <c r="F228" s="129"/>
      <c r="G228" s="8"/>
      <c r="L228" s="172"/>
      <c r="Q228" s="128"/>
    </row>
    <row r="229">
      <c r="B229" s="8"/>
      <c r="C229" s="8"/>
      <c r="D229" s="8"/>
      <c r="E229" s="8"/>
      <c r="F229" s="129"/>
      <c r="G229" s="8"/>
      <c r="L229" s="172"/>
      <c r="Q229" s="128"/>
    </row>
    <row r="230">
      <c r="B230" s="8"/>
      <c r="C230" s="8"/>
      <c r="D230" s="8"/>
      <c r="E230" s="8"/>
      <c r="F230" s="129"/>
      <c r="G230" s="8"/>
      <c r="L230" s="172"/>
      <c r="Q230" s="128"/>
    </row>
    <row r="231">
      <c r="B231" s="8"/>
      <c r="C231" s="8"/>
      <c r="D231" s="8"/>
      <c r="E231" s="8"/>
      <c r="F231" s="129"/>
      <c r="G231" s="8"/>
      <c r="L231" s="172"/>
      <c r="Q231" s="128"/>
    </row>
    <row r="232">
      <c r="B232" s="8"/>
      <c r="C232" s="8"/>
      <c r="D232" s="8"/>
      <c r="E232" s="8"/>
      <c r="F232" s="129"/>
      <c r="G232" s="8"/>
      <c r="L232" s="172"/>
      <c r="Q232" s="128"/>
    </row>
    <row r="233">
      <c r="B233" s="8"/>
      <c r="C233" s="8"/>
      <c r="D233" s="8"/>
      <c r="E233" s="8"/>
      <c r="F233" s="129"/>
      <c r="G233" s="8"/>
      <c r="L233" s="172"/>
      <c r="Q233" s="128"/>
    </row>
    <row r="234">
      <c r="B234" s="8"/>
      <c r="C234" s="8"/>
      <c r="D234" s="8"/>
      <c r="E234" s="8"/>
      <c r="F234" s="129"/>
      <c r="G234" s="8"/>
      <c r="L234" s="172"/>
      <c r="Q234" s="128"/>
    </row>
    <row r="235">
      <c r="B235" s="8"/>
      <c r="C235" s="8"/>
      <c r="D235" s="8"/>
      <c r="E235" s="8"/>
      <c r="F235" s="129"/>
      <c r="G235" s="8"/>
      <c r="L235" s="172"/>
      <c r="Q235" s="128"/>
    </row>
    <row r="236">
      <c r="B236" s="8"/>
      <c r="C236" s="8"/>
      <c r="D236" s="8"/>
      <c r="E236" s="8"/>
      <c r="F236" s="129"/>
      <c r="G236" s="8"/>
      <c r="L236" s="172"/>
      <c r="Q236" s="128"/>
    </row>
    <row r="237">
      <c r="B237" s="8"/>
      <c r="C237" s="8"/>
      <c r="D237" s="8"/>
      <c r="E237" s="8"/>
      <c r="F237" s="129"/>
      <c r="G237" s="8"/>
      <c r="L237" s="172"/>
      <c r="Q237" s="128"/>
    </row>
    <row r="238">
      <c r="B238" s="8"/>
      <c r="C238" s="8"/>
      <c r="D238" s="8"/>
      <c r="E238" s="8"/>
      <c r="F238" s="129"/>
      <c r="G238" s="8"/>
      <c r="L238" s="172"/>
      <c r="Q238" s="128"/>
    </row>
    <row r="239">
      <c r="B239" s="8"/>
      <c r="C239" s="8"/>
      <c r="D239" s="8"/>
      <c r="E239" s="8"/>
      <c r="F239" s="129"/>
      <c r="G239" s="8"/>
      <c r="L239" s="172"/>
      <c r="Q239" s="128"/>
    </row>
    <row r="240">
      <c r="B240" s="8"/>
      <c r="C240" s="8"/>
      <c r="D240" s="8"/>
      <c r="E240" s="8"/>
      <c r="F240" s="129"/>
      <c r="G240" s="8"/>
      <c r="L240" s="172"/>
      <c r="Q240" s="128"/>
    </row>
    <row r="241">
      <c r="B241" s="8"/>
      <c r="C241" s="8"/>
      <c r="D241" s="8"/>
      <c r="E241" s="8"/>
      <c r="F241" s="129"/>
      <c r="G241" s="8"/>
      <c r="L241" s="172"/>
      <c r="Q241" s="128"/>
    </row>
    <row r="242">
      <c r="B242" s="8"/>
      <c r="C242" s="8"/>
      <c r="D242" s="8"/>
      <c r="E242" s="8"/>
      <c r="F242" s="129"/>
      <c r="G242" s="8"/>
      <c r="L242" s="172"/>
      <c r="Q242" s="128"/>
    </row>
    <row r="243">
      <c r="B243" s="8"/>
      <c r="C243" s="8"/>
      <c r="D243" s="8"/>
      <c r="E243" s="8"/>
      <c r="F243" s="129"/>
      <c r="G243" s="8"/>
      <c r="L243" s="172"/>
      <c r="Q243" s="128"/>
    </row>
    <row r="244">
      <c r="B244" s="8"/>
      <c r="C244" s="8"/>
      <c r="D244" s="8"/>
      <c r="E244" s="8"/>
      <c r="F244" s="129"/>
      <c r="G244" s="8"/>
      <c r="L244" s="172"/>
      <c r="Q244" s="128"/>
    </row>
    <row r="245">
      <c r="B245" s="8"/>
      <c r="C245" s="8"/>
      <c r="D245" s="8"/>
      <c r="E245" s="8"/>
      <c r="F245" s="129"/>
      <c r="G245" s="8"/>
      <c r="L245" s="172"/>
      <c r="Q245" s="128"/>
    </row>
    <row r="246">
      <c r="B246" s="8"/>
      <c r="C246" s="8"/>
      <c r="D246" s="8"/>
      <c r="E246" s="8"/>
      <c r="F246" s="129"/>
      <c r="G246" s="8"/>
      <c r="L246" s="172"/>
      <c r="Q246" s="128"/>
    </row>
    <row r="247">
      <c r="B247" s="8"/>
      <c r="C247" s="8"/>
      <c r="D247" s="8"/>
      <c r="E247" s="8"/>
      <c r="F247" s="129"/>
      <c r="G247" s="8"/>
      <c r="L247" s="172"/>
      <c r="Q247" s="128"/>
    </row>
    <row r="248">
      <c r="B248" s="8"/>
      <c r="C248" s="8"/>
      <c r="D248" s="8"/>
      <c r="E248" s="8"/>
      <c r="F248" s="129"/>
      <c r="G248" s="8"/>
      <c r="L248" s="172"/>
      <c r="Q248" s="128"/>
    </row>
    <row r="249">
      <c r="B249" s="8"/>
      <c r="C249" s="8"/>
      <c r="D249" s="8"/>
      <c r="E249" s="8"/>
      <c r="F249" s="129"/>
      <c r="G249" s="8"/>
      <c r="L249" s="172"/>
      <c r="Q249" s="128"/>
    </row>
    <row r="250">
      <c r="B250" s="8"/>
      <c r="C250" s="8"/>
      <c r="D250" s="8"/>
      <c r="E250" s="8"/>
      <c r="F250" s="129"/>
      <c r="G250" s="8"/>
      <c r="L250" s="172"/>
      <c r="Q250" s="128"/>
    </row>
    <row r="251">
      <c r="B251" s="8"/>
      <c r="C251" s="8"/>
      <c r="D251" s="8"/>
      <c r="E251" s="8"/>
      <c r="F251" s="129"/>
      <c r="G251" s="8"/>
      <c r="L251" s="172"/>
      <c r="Q251" s="128"/>
    </row>
    <row r="252">
      <c r="B252" s="8"/>
      <c r="C252" s="8"/>
      <c r="D252" s="8"/>
      <c r="E252" s="8"/>
      <c r="F252" s="129"/>
      <c r="G252" s="8"/>
      <c r="L252" s="172"/>
      <c r="Q252" s="128"/>
    </row>
    <row r="253">
      <c r="B253" s="8"/>
      <c r="C253" s="8"/>
      <c r="D253" s="8"/>
      <c r="E253" s="8"/>
      <c r="F253" s="129"/>
      <c r="G253" s="8"/>
      <c r="L253" s="172"/>
      <c r="Q253" s="128"/>
    </row>
    <row r="254">
      <c r="B254" s="8"/>
      <c r="C254" s="8"/>
      <c r="D254" s="8"/>
      <c r="E254" s="8"/>
      <c r="F254" s="129"/>
      <c r="G254" s="8"/>
      <c r="L254" s="172"/>
      <c r="Q254" s="128"/>
    </row>
    <row r="255">
      <c r="B255" s="8"/>
      <c r="C255" s="8"/>
      <c r="D255" s="8"/>
      <c r="E255" s="8"/>
      <c r="F255" s="129"/>
      <c r="G255" s="8"/>
      <c r="L255" s="172"/>
      <c r="Q255" s="128"/>
    </row>
    <row r="256">
      <c r="B256" s="8"/>
      <c r="C256" s="8"/>
      <c r="D256" s="8"/>
      <c r="E256" s="8"/>
      <c r="F256" s="129"/>
      <c r="G256" s="8"/>
      <c r="L256" s="172"/>
      <c r="Q256" s="128"/>
    </row>
    <row r="257">
      <c r="B257" s="8"/>
      <c r="C257" s="8"/>
      <c r="D257" s="8"/>
      <c r="E257" s="8"/>
      <c r="F257" s="129"/>
      <c r="G257" s="8"/>
      <c r="L257" s="172"/>
      <c r="Q257" s="128"/>
    </row>
    <row r="258">
      <c r="B258" s="8"/>
      <c r="C258" s="8"/>
      <c r="D258" s="8"/>
      <c r="E258" s="8"/>
      <c r="F258" s="129"/>
      <c r="G258" s="8"/>
      <c r="L258" s="172"/>
      <c r="Q258" s="128"/>
    </row>
    <row r="259">
      <c r="B259" s="8"/>
      <c r="C259" s="8"/>
      <c r="D259" s="8"/>
      <c r="E259" s="8"/>
      <c r="F259" s="129"/>
      <c r="G259" s="8"/>
      <c r="L259" s="172"/>
      <c r="Q259" s="128"/>
    </row>
    <row r="260">
      <c r="B260" s="8"/>
      <c r="C260" s="8"/>
      <c r="D260" s="8"/>
      <c r="E260" s="8"/>
      <c r="F260" s="129"/>
      <c r="G260" s="8"/>
      <c r="L260" s="172"/>
      <c r="Q260" s="128"/>
    </row>
    <row r="261">
      <c r="B261" s="8"/>
      <c r="C261" s="8"/>
      <c r="D261" s="8"/>
      <c r="E261" s="8"/>
      <c r="F261" s="129"/>
      <c r="G261" s="8"/>
      <c r="L261" s="172"/>
      <c r="Q261" s="128"/>
    </row>
    <row r="262">
      <c r="B262" s="8"/>
      <c r="C262" s="8"/>
      <c r="D262" s="8"/>
      <c r="E262" s="8"/>
      <c r="F262" s="129"/>
      <c r="G262" s="8"/>
      <c r="L262" s="172"/>
      <c r="Q262" s="128"/>
    </row>
    <row r="263">
      <c r="B263" s="8"/>
      <c r="C263" s="8"/>
      <c r="D263" s="8"/>
      <c r="E263" s="8"/>
      <c r="F263" s="129"/>
      <c r="G263" s="8"/>
      <c r="L263" s="172"/>
      <c r="Q263" s="128"/>
    </row>
    <row r="264">
      <c r="B264" s="8"/>
      <c r="C264" s="8"/>
      <c r="D264" s="8"/>
      <c r="E264" s="8"/>
      <c r="F264" s="129"/>
      <c r="G264" s="8"/>
      <c r="L264" s="172"/>
      <c r="Q264" s="128"/>
    </row>
    <row r="265">
      <c r="B265" s="8"/>
      <c r="C265" s="8"/>
      <c r="D265" s="8"/>
      <c r="E265" s="8"/>
      <c r="F265" s="129"/>
      <c r="G265" s="8"/>
      <c r="L265" s="172"/>
      <c r="Q265" s="128"/>
    </row>
    <row r="266">
      <c r="B266" s="8"/>
      <c r="C266" s="8"/>
      <c r="D266" s="8"/>
      <c r="E266" s="8"/>
      <c r="F266" s="129"/>
      <c r="G266" s="8"/>
      <c r="L266" s="172"/>
      <c r="Q266" s="128"/>
    </row>
    <row r="267">
      <c r="B267" s="8"/>
      <c r="C267" s="8"/>
      <c r="D267" s="8"/>
      <c r="E267" s="8"/>
      <c r="F267" s="129"/>
      <c r="G267" s="8"/>
      <c r="L267" s="172"/>
      <c r="Q267" s="128"/>
    </row>
    <row r="268">
      <c r="B268" s="8"/>
      <c r="C268" s="8"/>
      <c r="D268" s="8"/>
      <c r="E268" s="8"/>
      <c r="F268" s="129"/>
      <c r="G268" s="8"/>
      <c r="L268" s="172"/>
      <c r="Q268" s="128"/>
    </row>
    <row r="269">
      <c r="B269" s="8"/>
      <c r="C269" s="8"/>
      <c r="D269" s="8"/>
      <c r="E269" s="8"/>
      <c r="F269" s="129"/>
      <c r="G269" s="8"/>
      <c r="L269" s="172"/>
      <c r="Q269" s="128"/>
    </row>
    <row r="270">
      <c r="B270" s="8"/>
      <c r="C270" s="8"/>
      <c r="D270" s="8"/>
      <c r="E270" s="8"/>
      <c r="F270" s="129"/>
      <c r="G270" s="8"/>
      <c r="L270" s="172"/>
      <c r="Q270" s="128"/>
    </row>
    <row r="271">
      <c r="B271" s="8"/>
      <c r="C271" s="8"/>
      <c r="D271" s="8"/>
      <c r="E271" s="8"/>
      <c r="F271" s="129"/>
      <c r="G271" s="8"/>
      <c r="L271" s="172"/>
      <c r="Q271" s="128"/>
    </row>
    <row r="272">
      <c r="B272" s="8"/>
      <c r="C272" s="8"/>
      <c r="D272" s="8"/>
      <c r="E272" s="8"/>
      <c r="F272" s="129"/>
      <c r="G272" s="8"/>
      <c r="L272" s="172"/>
      <c r="Q272" s="128"/>
    </row>
    <row r="273">
      <c r="B273" s="8"/>
      <c r="C273" s="8"/>
      <c r="D273" s="8"/>
      <c r="E273" s="8"/>
      <c r="F273" s="129"/>
      <c r="G273" s="8"/>
      <c r="L273" s="172"/>
      <c r="Q273" s="128"/>
    </row>
    <row r="274">
      <c r="B274" s="8"/>
      <c r="C274" s="8"/>
      <c r="D274" s="8"/>
      <c r="E274" s="8"/>
      <c r="F274" s="129"/>
      <c r="G274" s="8"/>
      <c r="L274" s="172"/>
      <c r="Q274" s="128"/>
    </row>
    <row r="275">
      <c r="B275" s="8"/>
      <c r="C275" s="8"/>
      <c r="D275" s="8"/>
      <c r="E275" s="8"/>
      <c r="F275" s="129"/>
      <c r="G275" s="8"/>
      <c r="L275" s="172"/>
      <c r="Q275" s="128"/>
    </row>
    <row r="276">
      <c r="B276" s="8"/>
      <c r="C276" s="8"/>
      <c r="D276" s="8"/>
      <c r="E276" s="8"/>
      <c r="F276" s="129"/>
      <c r="G276" s="8"/>
      <c r="L276" s="172"/>
      <c r="Q276" s="128"/>
    </row>
    <row r="277">
      <c r="B277" s="8"/>
      <c r="C277" s="8"/>
      <c r="D277" s="8"/>
      <c r="E277" s="8"/>
      <c r="F277" s="129"/>
      <c r="G277" s="8"/>
      <c r="L277" s="172"/>
      <c r="Q277" s="128"/>
    </row>
    <row r="278">
      <c r="B278" s="8"/>
      <c r="C278" s="8"/>
      <c r="D278" s="8"/>
      <c r="E278" s="8"/>
      <c r="F278" s="129"/>
      <c r="G278" s="8"/>
      <c r="L278" s="172"/>
      <c r="Q278" s="128"/>
    </row>
    <row r="279">
      <c r="B279" s="8"/>
      <c r="C279" s="8"/>
      <c r="D279" s="8"/>
      <c r="E279" s="8"/>
      <c r="F279" s="129"/>
      <c r="G279" s="8"/>
      <c r="L279" s="172"/>
      <c r="Q279" s="128"/>
    </row>
    <row r="280">
      <c r="B280" s="8"/>
      <c r="C280" s="8"/>
      <c r="D280" s="8"/>
      <c r="E280" s="8"/>
      <c r="F280" s="129"/>
      <c r="G280" s="8"/>
      <c r="L280" s="172"/>
      <c r="Q280" s="128"/>
    </row>
    <row r="281">
      <c r="B281" s="8"/>
      <c r="C281" s="8"/>
      <c r="D281" s="8"/>
      <c r="E281" s="8"/>
      <c r="F281" s="129"/>
      <c r="G281" s="8"/>
      <c r="L281" s="172"/>
      <c r="Q281" s="128"/>
    </row>
    <row r="282">
      <c r="B282" s="8"/>
      <c r="C282" s="8"/>
      <c r="D282" s="8"/>
      <c r="E282" s="8"/>
      <c r="F282" s="129"/>
      <c r="G282" s="8"/>
      <c r="L282" s="172"/>
      <c r="Q282" s="128"/>
    </row>
    <row r="283">
      <c r="B283" s="8"/>
      <c r="C283" s="8"/>
      <c r="D283" s="8"/>
      <c r="E283" s="8"/>
      <c r="F283" s="129"/>
      <c r="G283" s="8"/>
      <c r="L283" s="172"/>
      <c r="Q283" s="128"/>
    </row>
    <row r="284">
      <c r="B284" s="8"/>
      <c r="C284" s="8"/>
      <c r="D284" s="8"/>
      <c r="E284" s="8"/>
      <c r="F284" s="129"/>
      <c r="G284" s="8"/>
      <c r="L284" s="172"/>
      <c r="Q284" s="128"/>
    </row>
    <row r="285">
      <c r="B285" s="8"/>
      <c r="C285" s="8"/>
      <c r="D285" s="8"/>
      <c r="E285" s="8"/>
      <c r="F285" s="129"/>
      <c r="G285" s="8"/>
      <c r="L285" s="172"/>
      <c r="Q285" s="128"/>
    </row>
    <row r="286">
      <c r="B286" s="8"/>
      <c r="C286" s="8"/>
      <c r="D286" s="8"/>
      <c r="E286" s="8"/>
      <c r="F286" s="129"/>
      <c r="G286" s="8"/>
      <c r="L286" s="172"/>
      <c r="Q286" s="128"/>
    </row>
    <row r="287">
      <c r="B287" s="8"/>
      <c r="C287" s="8"/>
      <c r="D287" s="8"/>
      <c r="E287" s="8"/>
      <c r="F287" s="129"/>
      <c r="G287" s="8"/>
      <c r="L287" s="172"/>
      <c r="Q287" s="128"/>
    </row>
    <row r="288">
      <c r="B288" s="8"/>
      <c r="C288" s="8"/>
      <c r="D288" s="8"/>
      <c r="E288" s="8"/>
      <c r="F288" s="129"/>
      <c r="G288" s="8"/>
      <c r="L288" s="172"/>
      <c r="Q288" s="128"/>
    </row>
    <row r="289">
      <c r="B289" s="8"/>
      <c r="C289" s="8"/>
      <c r="D289" s="8"/>
      <c r="E289" s="8"/>
      <c r="F289" s="129"/>
      <c r="G289" s="8"/>
      <c r="L289" s="172"/>
      <c r="Q289" s="128"/>
    </row>
    <row r="290">
      <c r="B290" s="8"/>
      <c r="C290" s="8"/>
      <c r="D290" s="8"/>
      <c r="E290" s="8"/>
      <c r="F290" s="129"/>
      <c r="G290" s="8"/>
      <c r="L290" s="172"/>
      <c r="Q290" s="128"/>
    </row>
    <row r="291">
      <c r="B291" s="8"/>
      <c r="C291" s="8"/>
      <c r="D291" s="8"/>
      <c r="E291" s="8"/>
      <c r="F291" s="129"/>
      <c r="G291" s="8"/>
      <c r="L291" s="172"/>
      <c r="Q291" s="128"/>
    </row>
    <row r="292">
      <c r="B292" s="8"/>
      <c r="C292" s="8"/>
      <c r="D292" s="8"/>
      <c r="E292" s="8"/>
      <c r="F292" s="129"/>
      <c r="G292" s="8"/>
      <c r="L292" s="172"/>
      <c r="Q292" s="128"/>
    </row>
    <row r="293">
      <c r="B293" s="8"/>
      <c r="C293" s="8"/>
      <c r="D293" s="8"/>
      <c r="E293" s="8"/>
      <c r="F293" s="129"/>
      <c r="G293" s="8"/>
      <c r="L293" s="172"/>
      <c r="Q293" s="128"/>
    </row>
    <row r="294">
      <c r="B294" s="8"/>
      <c r="C294" s="8"/>
      <c r="D294" s="8"/>
      <c r="E294" s="8"/>
      <c r="F294" s="129"/>
      <c r="G294" s="8"/>
      <c r="L294" s="172"/>
      <c r="Q294" s="128"/>
    </row>
    <row r="295">
      <c r="B295" s="8"/>
      <c r="C295" s="8"/>
      <c r="D295" s="8"/>
      <c r="E295" s="8"/>
      <c r="F295" s="129"/>
      <c r="G295" s="8"/>
      <c r="L295" s="172"/>
      <c r="Q295" s="128"/>
    </row>
    <row r="296">
      <c r="B296" s="8"/>
      <c r="C296" s="8"/>
      <c r="D296" s="8"/>
      <c r="E296" s="8"/>
      <c r="F296" s="129"/>
      <c r="G296" s="8"/>
      <c r="L296" s="172"/>
      <c r="Q296" s="128"/>
    </row>
    <row r="297">
      <c r="B297" s="8"/>
      <c r="C297" s="8"/>
      <c r="D297" s="8"/>
      <c r="E297" s="8"/>
      <c r="F297" s="129"/>
      <c r="G297" s="8"/>
      <c r="L297" s="172"/>
      <c r="Q297" s="128"/>
    </row>
    <row r="298">
      <c r="B298" s="8"/>
      <c r="C298" s="8"/>
      <c r="D298" s="8"/>
      <c r="E298" s="8"/>
      <c r="F298" s="129"/>
      <c r="G298" s="8"/>
      <c r="L298" s="172"/>
      <c r="Q298" s="128"/>
    </row>
    <row r="299">
      <c r="B299" s="8"/>
      <c r="C299" s="8"/>
      <c r="D299" s="8"/>
      <c r="E299" s="8"/>
      <c r="F299" s="129"/>
      <c r="G299" s="8"/>
      <c r="L299" s="172"/>
      <c r="Q299" s="128"/>
    </row>
    <row r="300">
      <c r="B300" s="8"/>
      <c r="C300" s="8"/>
      <c r="D300" s="8"/>
      <c r="E300" s="8"/>
      <c r="F300" s="129"/>
      <c r="G300" s="8"/>
      <c r="L300" s="172"/>
      <c r="Q300" s="128"/>
    </row>
    <row r="301">
      <c r="B301" s="8"/>
      <c r="C301" s="8"/>
      <c r="D301" s="8"/>
      <c r="E301" s="8"/>
      <c r="F301" s="129"/>
      <c r="G301" s="8"/>
      <c r="L301" s="172"/>
      <c r="Q301" s="128"/>
    </row>
    <row r="302">
      <c r="B302" s="8"/>
      <c r="C302" s="8"/>
      <c r="D302" s="8"/>
      <c r="E302" s="8"/>
      <c r="F302" s="129"/>
      <c r="G302" s="8"/>
      <c r="L302" s="172"/>
      <c r="Q302" s="128"/>
    </row>
    <row r="303">
      <c r="B303" s="8"/>
      <c r="C303" s="8"/>
      <c r="D303" s="8"/>
      <c r="E303" s="8"/>
      <c r="F303" s="129"/>
      <c r="G303" s="8"/>
      <c r="L303" s="172"/>
      <c r="Q303" s="128"/>
    </row>
    <row r="304">
      <c r="B304" s="8"/>
      <c r="C304" s="8"/>
      <c r="D304" s="8"/>
      <c r="E304" s="8"/>
      <c r="F304" s="129"/>
      <c r="G304" s="8"/>
      <c r="L304" s="172"/>
      <c r="Q304" s="128"/>
    </row>
    <row r="305">
      <c r="B305" s="8"/>
      <c r="C305" s="8"/>
      <c r="D305" s="8"/>
      <c r="E305" s="8"/>
      <c r="F305" s="129"/>
      <c r="G305" s="8"/>
      <c r="L305" s="172"/>
      <c r="Q305" s="128"/>
    </row>
    <row r="306">
      <c r="B306" s="8"/>
      <c r="C306" s="8"/>
      <c r="D306" s="8"/>
      <c r="E306" s="8"/>
      <c r="F306" s="129"/>
      <c r="G306" s="8"/>
      <c r="L306" s="172"/>
      <c r="Q306" s="128"/>
    </row>
    <row r="307">
      <c r="B307" s="8"/>
      <c r="C307" s="8"/>
      <c r="D307" s="8"/>
      <c r="E307" s="8"/>
      <c r="F307" s="129"/>
      <c r="G307" s="8"/>
      <c r="L307" s="172"/>
      <c r="Q307" s="128"/>
    </row>
    <row r="308">
      <c r="B308" s="8"/>
      <c r="C308" s="8"/>
      <c r="D308" s="8"/>
      <c r="E308" s="8"/>
      <c r="F308" s="129"/>
      <c r="G308" s="8"/>
      <c r="L308" s="172"/>
      <c r="Q308" s="128"/>
    </row>
    <row r="309">
      <c r="B309" s="8"/>
      <c r="C309" s="8"/>
      <c r="D309" s="8"/>
      <c r="E309" s="8"/>
      <c r="F309" s="129"/>
      <c r="G309" s="8"/>
      <c r="L309" s="172"/>
      <c r="Q309" s="128"/>
    </row>
    <row r="310">
      <c r="B310" s="8"/>
      <c r="C310" s="8"/>
      <c r="D310" s="8"/>
      <c r="E310" s="8"/>
      <c r="F310" s="129"/>
      <c r="G310" s="8"/>
      <c r="L310" s="172"/>
      <c r="Q310" s="128"/>
    </row>
    <row r="311">
      <c r="B311" s="8"/>
      <c r="C311" s="8"/>
      <c r="D311" s="8"/>
      <c r="E311" s="8"/>
      <c r="F311" s="129"/>
      <c r="G311" s="8"/>
      <c r="L311" s="172"/>
      <c r="Q311" s="128"/>
    </row>
    <row r="312">
      <c r="B312" s="8"/>
      <c r="C312" s="8"/>
      <c r="D312" s="8"/>
      <c r="E312" s="8"/>
      <c r="F312" s="129"/>
      <c r="G312" s="8"/>
      <c r="L312" s="172"/>
      <c r="Q312" s="128"/>
    </row>
    <row r="313">
      <c r="B313" s="8"/>
      <c r="C313" s="8"/>
      <c r="D313" s="8"/>
      <c r="E313" s="8"/>
      <c r="F313" s="129"/>
      <c r="G313" s="8"/>
      <c r="L313" s="172"/>
      <c r="Q313" s="128"/>
    </row>
    <row r="314">
      <c r="B314" s="8"/>
      <c r="C314" s="8"/>
      <c r="D314" s="8"/>
      <c r="E314" s="8"/>
      <c r="F314" s="129"/>
      <c r="G314" s="8"/>
      <c r="L314" s="172"/>
      <c r="Q314" s="128"/>
    </row>
    <row r="315">
      <c r="B315" s="8"/>
      <c r="C315" s="8"/>
      <c r="D315" s="8"/>
      <c r="E315" s="8"/>
      <c r="F315" s="129"/>
      <c r="G315" s="8"/>
      <c r="L315" s="172"/>
      <c r="Q315" s="128"/>
    </row>
    <row r="316">
      <c r="B316" s="8"/>
      <c r="C316" s="8"/>
      <c r="D316" s="8"/>
      <c r="E316" s="8"/>
      <c r="F316" s="129"/>
      <c r="G316" s="8"/>
      <c r="L316" s="172"/>
      <c r="Q316" s="128"/>
    </row>
    <row r="317">
      <c r="B317" s="8"/>
      <c r="C317" s="8"/>
      <c r="D317" s="8"/>
      <c r="E317" s="8"/>
      <c r="F317" s="129"/>
      <c r="G317" s="8"/>
      <c r="L317" s="172"/>
      <c r="Q317" s="128"/>
    </row>
    <row r="318">
      <c r="B318" s="8"/>
      <c r="C318" s="8"/>
      <c r="D318" s="8"/>
      <c r="E318" s="8"/>
      <c r="F318" s="129"/>
      <c r="G318" s="8"/>
      <c r="L318" s="172"/>
      <c r="Q318" s="128"/>
    </row>
    <row r="319">
      <c r="B319" s="8"/>
      <c r="C319" s="8"/>
      <c r="D319" s="8"/>
      <c r="E319" s="8"/>
      <c r="F319" s="129"/>
      <c r="G319" s="8"/>
      <c r="L319" s="172"/>
      <c r="Q319" s="128"/>
    </row>
    <row r="320">
      <c r="B320" s="8"/>
      <c r="C320" s="8"/>
      <c r="D320" s="8"/>
      <c r="E320" s="8"/>
      <c r="F320" s="129"/>
      <c r="G320" s="8"/>
      <c r="L320" s="172"/>
      <c r="Q320" s="128"/>
    </row>
    <row r="321">
      <c r="B321" s="8"/>
      <c r="C321" s="8"/>
      <c r="D321" s="8"/>
      <c r="E321" s="8"/>
      <c r="F321" s="129"/>
      <c r="G321" s="8"/>
      <c r="L321" s="172"/>
      <c r="Q321" s="128"/>
    </row>
    <row r="322">
      <c r="B322" s="8"/>
      <c r="C322" s="8"/>
      <c r="D322" s="8"/>
      <c r="E322" s="8"/>
      <c r="F322" s="129"/>
      <c r="G322" s="8"/>
      <c r="L322" s="172"/>
      <c r="Q322" s="128"/>
    </row>
    <row r="323">
      <c r="B323" s="8"/>
      <c r="C323" s="8"/>
      <c r="D323" s="8"/>
      <c r="E323" s="8"/>
      <c r="F323" s="129"/>
      <c r="G323" s="8"/>
      <c r="L323" s="172"/>
      <c r="Q323" s="128"/>
    </row>
    <row r="324">
      <c r="B324" s="8"/>
      <c r="C324" s="8"/>
      <c r="D324" s="8"/>
      <c r="E324" s="8"/>
      <c r="F324" s="129"/>
      <c r="G324" s="8"/>
      <c r="L324" s="172"/>
      <c r="Q324" s="128"/>
    </row>
    <row r="325">
      <c r="B325" s="8"/>
      <c r="C325" s="8"/>
      <c r="D325" s="8"/>
      <c r="E325" s="8"/>
      <c r="F325" s="129"/>
      <c r="G325" s="8"/>
      <c r="L325" s="172"/>
      <c r="Q325" s="128"/>
    </row>
    <row r="326">
      <c r="B326" s="8"/>
      <c r="C326" s="8"/>
      <c r="D326" s="8"/>
      <c r="E326" s="8"/>
      <c r="F326" s="129"/>
      <c r="G326" s="8"/>
      <c r="L326" s="172"/>
      <c r="Q326" s="128"/>
    </row>
    <row r="327">
      <c r="B327" s="8"/>
      <c r="C327" s="8"/>
      <c r="D327" s="8"/>
      <c r="E327" s="8"/>
      <c r="F327" s="129"/>
      <c r="G327" s="8"/>
      <c r="L327" s="172"/>
      <c r="Q327" s="128"/>
    </row>
    <row r="328">
      <c r="B328" s="8"/>
      <c r="C328" s="8"/>
      <c r="D328" s="8"/>
      <c r="E328" s="8"/>
      <c r="F328" s="129"/>
      <c r="G328" s="8"/>
      <c r="L328" s="172"/>
      <c r="Q328" s="128"/>
    </row>
    <row r="329">
      <c r="B329" s="8"/>
      <c r="C329" s="8"/>
      <c r="D329" s="8"/>
      <c r="E329" s="8"/>
      <c r="F329" s="129"/>
      <c r="G329" s="8"/>
      <c r="L329" s="172"/>
      <c r="Q329" s="128"/>
    </row>
    <row r="330">
      <c r="B330" s="8"/>
      <c r="C330" s="8"/>
      <c r="D330" s="8"/>
      <c r="E330" s="8"/>
      <c r="F330" s="129"/>
      <c r="G330" s="8"/>
      <c r="L330" s="172"/>
      <c r="Q330" s="128"/>
    </row>
    <row r="331">
      <c r="B331" s="8"/>
      <c r="C331" s="8"/>
      <c r="D331" s="8"/>
      <c r="E331" s="8"/>
      <c r="F331" s="129"/>
      <c r="G331" s="8"/>
      <c r="L331" s="172"/>
      <c r="Q331" s="128"/>
    </row>
    <row r="332">
      <c r="B332" s="8"/>
      <c r="C332" s="8"/>
      <c r="D332" s="8"/>
      <c r="E332" s="8"/>
      <c r="F332" s="129"/>
      <c r="G332" s="8"/>
      <c r="L332" s="172"/>
      <c r="Q332" s="128"/>
    </row>
    <row r="333">
      <c r="B333" s="8"/>
      <c r="C333" s="8"/>
      <c r="D333" s="8"/>
      <c r="E333" s="8"/>
      <c r="F333" s="129"/>
      <c r="G333" s="8"/>
      <c r="L333" s="172"/>
      <c r="Q333" s="128"/>
    </row>
    <row r="334">
      <c r="B334" s="8"/>
      <c r="C334" s="8"/>
      <c r="D334" s="8"/>
      <c r="E334" s="8"/>
      <c r="F334" s="129"/>
      <c r="G334" s="8"/>
      <c r="L334" s="172"/>
      <c r="Q334" s="128"/>
    </row>
    <row r="335">
      <c r="B335" s="8"/>
      <c r="C335" s="8"/>
      <c r="D335" s="8"/>
      <c r="E335" s="8"/>
      <c r="F335" s="129"/>
      <c r="G335" s="8"/>
      <c r="L335" s="172"/>
      <c r="Q335" s="128"/>
    </row>
    <row r="336">
      <c r="B336" s="8"/>
      <c r="C336" s="8"/>
      <c r="D336" s="8"/>
      <c r="E336" s="8"/>
      <c r="F336" s="129"/>
      <c r="G336" s="8"/>
      <c r="L336" s="172"/>
      <c r="Q336" s="128"/>
    </row>
    <row r="337">
      <c r="B337" s="8"/>
      <c r="C337" s="8"/>
      <c r="D337" s="8"/>
      <c r="E337" s="8"/>
      <c r="F337" s="129"/>
      <c r="G337" s="8"/>
      <c r="L337" s="172"/>
      <c r="Q337" s="128"/>
    </row>
    <row r="338">
      <c r="B338" s="8"/>
      <c r="C338" s="8"/>
      <c r="D338" s="8"/>
      <c r="E338" s="8"/>
      <c r="F338" s="129"/>
      <c r="G338" s="8"/>
      <c r="L338" s="172"/>
      <c r="Q338" s="128"/>
    </row>
    <row r="339">
      <c r="B339" s="8"/>
      <c r="C339" s="8"/>
      <c r="D339" s="8"/>
      <c r="E339" s="8"/>
      <c r="F339" s="129"/>
      <c r="G339" s="8"/>
      <c r="L339" s="172"/>
      <c r="Q339" s="128"/>
    </row>
    <row r="340">
      <c r="B340" s="8"/>
      <c r="C340" s="8"/>
      <c r="D340" s="8"/>
      <c r="E340" s="8"/>
      <c r="F340" s="129"/>
      <c r="G340" s="8"/>
      <c r="L340" s="172"/>
      <c r="Q340" s="128"/>
    </row>
    <row r="341">
      <c r="B341" s="8"/>
      <c r="C341" s="8"/>
      <c r="D341" s="8"/>
      <c r="E341" s="8"/>
      <c r="F341" s="129"/>
      <c r="G341" s="8"/>
      <c r="L341" s="172"/>
      <c r="Q341" s="128"/>
    </row>
    <row r="342">
      <c r="B342" s="8"/>
      <c r="C342" s="8"/>
      <c r="D342" s="8"/>
      <c r="E342" s="8"/>
      <c r="F342" s="129"/>
      <c r="G342" s="8"/>
      <c r="L342" s="172"/>
      <c r="Q342" s="128"/>
    </row>
    <row r="343">
      <c r="B343" s="8"/>
      <c r="C343" s="8"/>
      <c r="D343" s="8"/>
      <c r="E343" s="8"/>
      <c r="F343" s="129"/>
      <c r="G343" s="8"/>
      <c r="L343" s="172"/>
      <c r="Q343" s="128"/>
    </row>
    <row r="344">
      <c r="B344" s="8"/>
      <c r="C344" s="8"/>
      <c r="D344" s="8"/>
      <c r="E344" s="8"/>
      <c r="F344" s="129"/>
      <c r="G344" s="8"/>
      <c r="L344" s="172"/>
      <c r="Q344" s="128"/>
    </row>
    <row r="345">
      <c r="B345" s="8"/>
      <c r="C345" s="8"/>
      <c r="D345" s="8"/>
      <c r="E345" s="8"/>
      <c r="F345" s="129"/>
      <c r="G345" s="8"/>
      <c r="L345" s="172"/>
      <c r="Q345" s="128"/>
    </row>
    <row r="346">
      <c r="B346" s="8"/>
      <c r="C346" s="8"/>
      <c r="D346" s="8"/>
      <c r="E346" s="8"/>
      <c r="F346" s="129"/>
      <c r="G346" s="8"/>
      <c r="L346" s="172"/>
      <c r="Q346" s="128"/>
    </row>
    <row r="347">
      <c r="B347" s="8"/>
      <c r="C347" s="8"/>
      <c r="D347" s="8"/>
      <c r="E347" s="8"/>
      <c r="F347" s="129"/>
      <c r="G347" s="8"/>
      <c r="L347" s="172"/>
      <c r="Q347" s="128"/>
    </row>
    <row r="348">
      <c r="B348" s="8"/>
      <c r="C348" s="8"/>
      <c r="D348" s="8"/>
      <c r="E348" s="8"/>
      <c r="F348" s="129"/>
      <c r="G348" s="8"/>
      <c r="L348" s="172"/>
      <c r="Q348" s="128"/>
    </row>
    <row r="349">
      <c r="B349" s="8"/>
      <c r="C349" s="8"/>
      <c r="D349" s="8"/>
      <c r="E349" s="8"/>
      <c r="F349" s="129"/>
      <c r="G349" s="8"/>
      <c r="L349" s="172"/>
      <c r="Q349" s="128"/>
    </row>
    <row r="350">
      <c r="B350" s="8"/>
      <c r="C350" s="8"/>
      <c r="D350" s="8"/>
      <c r="E350" s="8"/>
      <c r="F350" s="129"/>
      <c r="G350" s="8"/>
      <c r="L350" s="172"/>
      <c r="Q350" s="128"/>
    </row>
    <row r="351">
      <c r="B351" s="8"/>
      <c r="C351" s="8"/>
      <c r="D351" s="8"/>
      <c r="E351" s="8"/>
      <c r="F351" s="129"/>
      <c r="G351" s="8"/>
      <c r="L351" s="172"/>
      <c r="Q351" s="128"/>
    </row>
    <row r="352">
      <c r="B352" s="8"/>
      <c r="C352" s="8"/>
      <c r="D352" s="8"/>
      <c r="E352" s="8"/>
      <c r="F352" s="129"/>
      <c r="G352" s="8"/>
      <c r="L352" s="172"/>
      <c r="Q352" s="128"/>
    </row>
    <row r="353">
      <c r="B353" s="8"/>
      <c r="C353" s="8"/>
      <c r="D353" s="8"/>
      <c r="E353" s="8"/>
      <c r="F353" s="129"/>
      <c r="G353" s="8"/>
      <c r="L353" s="172"/>
      <c r="Q353" s="128"/>
    </row>
    <row r="354">
      <c r="B354" s="8"/>
      <c r="C354" s="8"/>
      <c r="D354" s="8"/>
      <c r="E354" s="8"/>
      <c r="F354" s="129"/>
      <c r="G354" s="8"/>
      <c r="L354" s="172"/>
      <c r="Q354" s="128"/>
    </row>
    <row r="355">
      <c r="B355" s="8"/>
      <c r="C355" s="8"/>
      <c r="D355" s="8"/>
      <c r="E355" s="8"/>
      <c r="F355" s="129"/>
      <c r="G355" s="8"/>
      <c r="L355" s="172"/>
      <c r="Q355" s="128"/>
    </row>
    <row r="356">
      <c r="B356" s="8"/>
      <c r="C356" s="8"/>
      <c r="D356" s="8"/>
      <c r="E356" s="8"/>
      <c r="F356" s="129"/>
      <c r="G356" s="8"/>
      <c r="L356" s="172"/>
      <c r="Q356" s="128"/>
    </row>
    <row r="357">
      <c r="B357" s="8"/>
      <c r="C357" s="8"/>
      <c r="D357" s="8"/>
      <c r="E357" s="8"/>
      <c r="F357" s="129"/>
      <c r="G357" s="8"/>
      <c r="L357" s="172"/>
      <c r="Q357" s="128"/>
    </row>
    <row r="358">
      <c r="B358" s="8"/>
      <c r="C358" s="8"/>
      <c r="D358" s="8"/>
      <c r="E358" s="8"/>
      <c r="F358" s="129"/>
      <c r="G358" s="8"/>
      <c r="L358" s="172"/>
      <c r="Q358" s="128"/>
    </row>
    <row r="359">
      <c r="B359" s="8"/>
      <c r="C359" s="8"/>
      <c r="D359" s="8"/>
      <c r="E359" s="8"/>
      <c r="F359" s="129"/>
      <c r="G359" s="8"/>
      <c r="L359" s="172"/>
      <c r="Q359" s="128"/>
    </row>
    <row r="360">
      <c r="B360" s="8"/>
      <c r="C360" s="8"/>
      <c r="D360" s="8"/>
      <c r="E360" s="8"/>
      <c r="F360" s="129"/>
      <c r="G360" s="8"/>
      <c r="L360" s="172"/>
      <c r="Q360" s="128"/>
    </row>
    <row r="361">
      <c r="B361" s="8"/>
      <c r="C361" s="8"/>
      <c r="D361" s="8"/>
      <c r="E361" s="8"/>
      <c r="F361" s="129"/>
      <c r="G361" s="8"/>
      <c r="L361" s="172"/>
      <c r="Q361" s="128"/>
    </row>
    <row r="362">
      <c r="B362" s="8"/>
      <c r="C362" s="8"/>
      <c r="D362" s="8"/>
      <c r="E362" s="8"/>
      <c r="F362" s="129"/>
      <c r="G362" s="8"/>
      <c r="L362" s="172"/>
      <c r="Q362" s="128"/>
    </row>
    <row r="363">
      <c r="B363" s="8"/>
      <c r="C363" s="8"/>
      <c r="D363" s="8"/>
      <c r="E363" s="8"/>
      <c r="F363" s="129"/>
      <c r="G363" s="8"/>
      <c r="L363" s="172"/>
      <c r="Q363" s="128"/>
    </row>
    <row r="364">
      <c r="B364" s="8"/>
      <c r="C364" s="8"/>
      <c r="D364" s="8"/>
      <c r="E364" s="8"/>
      <c r="F364" s="129"/>
      <c r="G364" s="8"/>
      <c r="L364" s="172"/>
      <c r="Q364" s="128"/>
    </row>
    <row r="365">
      <c r="B365" s="8"/>
      <c r="C365" s="8"/>
      <c r="D365" s="8"/>
      <c r="E365" s="8"/>
      <c r="F365" s="129"/>
      <c r="G365" s="8"/>
      <c r="L365" s="172"/>
      <c r="Q365" s="128"/>
    </row>
    <row r="366">
      <c r="B366" s="8"/>
      <c r="C366" s="8"/>
      <c r="D366" s="8"/>
      <c r="E366" s="8"/>
      <c r="F366" s="129"/>
      <c r="G366" s="8"/>
      <c r="L366" s="172"/>
      <c r="Q366" s="128"/>
    </row>
    <row r="367">
      <c r="B367" s="8"/>
      <c r="C367" s="8"/>
      <c r="D367" s="8"/>
      <c r="E367" s="8"/>
      <c r="F367" s="129"/>
      <c r="G367" s="8"/>
      <c r="L367" s="172"/>
      <c r="Q367" s="128"/>
    </row>
    <row r="368">
      <c r="B368" s="8"/>
      <c r="C368" s="8"/>
      <c r="D368" s="8"/>
      <c r="E368" s="8"/>
      <c r="F368" s="129"/>
      <c r="G368" s="8"/>
      <c r="L368" s="172"/>
      <c r="Q368" s="128"/>
    </row>
    <row r="369">
      <c r="B369" s="8"/>
      <c r="C369" s="8"/>
      <c r="D369" s="8"/>
      <c r="E369" s="8"/>
      <c r="F369" s="129"/>
      <c r="G369" s="8"/>
      <c r="L369" s="172"/>
      <c r="Q369" s="128"/>
    </row>
    <row r="370">
      <c r="B370" s="8"/>
      <c r="C370" s="8"/>
      <c r="D370" s="8"/>
      <c r="E370" s="8"/>
      <c r="F370" s="129"/>
      <c r="G370" s="8"/>
      <c r="L370" s="172"/>
      <c r="Q370" s="128"/>
    </row>
    <row r="371">
      <c r="B371" s="8"/>
      <c r="C371" s="8"/>
      <c r="D371" s="8"/>
      <c r="E371" s="8"/>
      <c r="F371" s="129"/>
      <c r="G371" s="8"/>
      <c r="L371" s="172"/>
      <c r="Q371" s="128"/>
    </row>
    <row r="372">
      <c r="B372" s="8"/>
      <c r="C372" s="8"/>
      <c r="D372" s="8"/>
      <c r="E372" s="8"/>
      <c r="F372" s="129"/>
      <c r="G372" s="8"/>
      <c r="L372" s="172"/>
      <c r="Q372" s="128"/>
    </row>
    <row r="373">
      <c r="B373" s="8"/>
      <c r="C373" s="8"/>
      <c r="D373" s="8"/>
      <c r="E373" s="8"/>
      <c r="F373" s="129"/>
      <c r="G373" s="8"/>
      <c r="L373" s="172"/>
      <c r="Q373" s="128"/>
    </row>
    <row r="374">
      <c r="B374" s="8"/>
      <c r="C374" s="8"/>
      <c r="D374" s="8"/>
      <c r="E374" s="8"/>
      <c r="F374" s="129"/>
      <c r="G374" s="8"/>
      <c r="L374" s="172"/>
      <c r="Q374" s="128"/>
    </row>
    <row r="375">
      <c r="B375" s="8"/>
      <c r="C375" s="8"/>
      <c r="D375" s="8"/>
      <c r="E375" s="8"/>
      <c r="F375" s="129"/>
      <c r="G375" s="8"/>
      <c r="L375" s="172"/>
      <c r="Q375" s="128"/>
    </row>
    <row r="376">
      <c r="B376" s="8"/>
      <c r="C376" s="8"/>
      <c r="D376" s="8"/>
      <c r="E376" s="8"/>
      <c r="F376" s="129"/>
      <c r="G376" s="8"/>
      <c r="L376" s="172"/>
      <c r="Q376" s="128"/>
    </row>
    <row r="377">
      <c r="B377" s="8"/>
      <c r="C377" s="8"/>
      <c r="D377" s="8"/>
      <c r="E377" s="8"/>
      <c r="F377" s="129"/>
      <c r="G377" s="8"/>
      <c r="L377" s="172"/>
      <c r="Q377" s="128"/>
    </row>
    <row r="378">
      <c r="B378" s="8"/>
      <c r="C378" s="8"/>
      <c r="D378" s="8"/>
      <c r="E378" s="8"/>
      <c r="F378" s="129"/>
      <c r="G378" s="8"/>
      <c r="L378" s="172"/>
      <c r="Q378" s="128"/>
    </row>
    <row r="379">
      <c r="B379" s="8"/>
      <c r="C379" s="8"/>
      <c r="D379" s="8"/>
      <c r="E379" s="8"/>
      <c r="F379" s="129"/>
      <c r="G379" s="8"/>
      <c r="L379" s="172"/>
      <c r="Q379" s="128"/>
    </row>
    <row r="380">
      <c r="B380" s="8"/>
      <c r="C380" s="8"/>
      <c r="D380" s="8"/>
      <c r="E380" s="8"/>
      <c r="F380" s="129"/>
      <c r="G380" s="8"/>
      <c r="L380" s="172"/>
      <c r="Q380" s="128"/>
    </row>
    <row r="381">
      <c r="B381" s="8"/>
      <c r="C381" s="8"/>
      <c r="D381" s="8"/>
      <c r="E381" s="8"/>
      <c r="F381" s="129"/>
      <c r="G381" s="8"/>
      <c r="L381" s="172"/>
      <c r="Q381" s="128"/>
    </row>
    <row r="382">
      <c r="B382" s="8"/>
      <c r="C382" s="8"/>
      <c r="D382" s="8"/>
      <c r="E382" s="8"/>
      <c r="F382" s="129"/>
      <c r="G382" s="8"/>
      <c r="L382" s="172"/>
      <c r="Q382" s="128"/>
    </row>
    <row r="383">
      <c r="B383" s="8"/>
      <c r="C383" s="8"/>
      <c r="D383" s="8"/>
      <c r="E383" s="8"/>
      <c r="F383" s="129"/>
      <c r="G383" s="8"/>
      <c r="L383" s="172"/>
      <c r="Q383" s="128"/>
    </row>
    <row r="384">
      <c r="B384" s="8"/>
      <c r="C384" s="8"/>
      <c r="D384" s="8"/>
      <c r="E384" s="8"/>
      <c r="F384" s="129"/>
      <c r="G384" s="8"/>
      <c r="L384" s="172"/>
      <c r="Q384" s="128"/>
    </row>
    <row r="385">
      <c r="B385" s="8"/>
      <c r="C385" s="8"/>
      <c r="D385" s="8"/>
      <c r="E385" s="8"/>
      <c r="F385" s="129"/>
      <c r="G385" s="8"/>
      <c r="L385" s="172"/>
      <c r="Q385" s="128"/>
    </row>
    <row r="386">
      <c r="B386" s="8"/>
      <c r="C386" s="8"/>
      <c r="D386" s="8"/>
      <c r="E386" s="8"/>
      <c r="F386" s="129"/>
      <c r="G386" s="8"/>
      <c r="L386" s="172"/>
      <c r="Q386" s="128"/>
    </row>
    <row r="387">
      <c r="B387" s="8"/>
      <c r="C387" s="8"/>
      <c r="D387" s="8"/>
      <c r="E387" s="8"/>
      <c r="F387" s="129"/>
      <c r="G387" s="8"/>
      <c r="L387" s="172"/>
      <c r="Q387" s="128"/>
    </row>
    <row r="388">
      <c r="B388" s="8"/>
      <c r="C388" s="8"/>
      <c r="D388" s="8"/>
      <c r="E388" s="8"/>
      <c r="F388" s="129"/>
      <c r="G388" s="8"/>
      <c r="L388" s="172"/>
      <c r="Q388" s="128"/>
    </row>
    <row r="389">
      <c r="B389" s="8"/>
      <c r="C389" s="8"/>
      <c r="D389" s="8"/>
      <c r="E389" s="8"/>
      <c r="F389" s="129"/>
      <c r="G389" s="8"/>
      <c r="L389" s="172"/>
      <c r="Q389" s="128"/>
    </row>
    <row r="390">
      <c r="B390" s="8"/>
      <c r="C390" s="8"/>
      <c r="D390" s="8"/>
      <c r="E390" s="8"/>
      <c r="F390" s="129"/>
      <c r="G390" s="8"/>
      <c r="L390" s="172"/>
      <c r="Q390" s="128"/>
    </row>
    <row r="391">
      <c r="B391" s="8"/>
      <c r="C391" s="8"/>
      <c r="D391" s="8"/>
      <c r="E391" s="8"/>
      <c r="F391" s="129"/>
      <c r="G391" s="8"/>
      <c r="L391" s="172"/>
      <c r="Q391" s="128"/>
    </row>
    <row r="392">
      <c r="B392" s="8"/>
      <c r="C392" s="8"/>
      <c r="D392" s="8"/>
      <c r="E392" s="8"/>
      <c r="F392" s="129"/>
      <c r="G392" s="8"/>
      <c r="L392" s="172"/>
      <c r="Q392" s="128"/>
    </row>
    <row r="393">
      <c r="B393" s="8"/>
      <c r="C393" s="8"/>
      <c r="D393" s="8"/>
      <c r="E393" s="8"/>
      <c r="F393" s="129"/>
      <c r="G393" s="8"/>
      <c r="L393" s="172"/>
      <c r="Q393" s="128"/>
    </row>
    <row r="394">
      <c r="B394" s="8"/>
      <c r="C394" s="8"/>
      <c r="D394" s="8"/>
      <c r="E394" s="8"/>
      <c r="F394" s="129"/>
      <c r="G394" s="8"/>
      <c r="L394" s="172"/>
      <c r="Q394" s="128"/>
    </row>
    <row r="395">
      <c r="B395" s="8"/>
      <c r="C395" s="8"/>
      <c r="D395" s="8"/>
      <c r="E395" s="8"/>
      <c r="F395" s="129"/>
      <c r="G395" s="8"/>
      <c r="L395" s="172"/>
      <c r="Q395" s="128"/>
    </row>
    <row r="396">
      <c r="B396" s="8"/>
      <c r="C396" s="8"/>
      <c r="D396" s="8"/>
      <c r="E396" s="8"/>
      <c r="F396" s="129"/>
      <c r="G396" s="8"/>
      <c r="L396" s="172"/>
      <c r="Q396" s="128"/>
    </row>
    <row r="397">
      <c r="B397" s="8"/>
      <c r="C397" s="8"/>
      <c r="D397" s="8"/>
      <c r="E397" s="8"/>
      <c r="F397" s="129"/>
      <c r="G397" s="8"/>
      <c r="L397" s="172"/>
      <c r="Q397" s="128"/>
    </row>
    <row r="398">
      <c r="B398" s="8"/>
      <c r="C398" s="8"/>
      <c r="D398" s="8"/>
      <c r="E398" s="8"/>
      <c r="F398" s="129"/>
      <c r="G398" s="8"/>
      <c r="L398" s="172"/>
      <c r="Q398" s="128"/>
    </row>
    <row r="399">
      <c r="B399" s="8"/>
      <c r="C399" s="8"/>
      <c r="D399" s="8"/>
      <c r="E399" s="8"/>
      <c r="F399" s="129"/>
      <c r="G399" s="8"/>
      <c r="L399" s="172"/>
      <c r="Q399" s="128"/>
    </row>
    <row r="400">
      <c r="B400" s="8"/>
      <c r="C400" s="8"/>
      <c r="D400" s="8"/>
      <c r="E400" s="8"/>
      <c r="F400" s="129"/>
      <c r="G400" s="8"/>
      <c r="L400" s="172"/>
      <c r="Q400" s="128"/>
    </row>
    <row r="401">
      <c r="B401" s="8"/>
      <c r="C401" s="8"/>
      <c r="D401" s="8"/>
      <c r="E401" s="8"/>
      <c r="F401" s="129"/>
      <c r="G401" s="8"/>
      <c r="L401" s="172"/>
      <c r="Q401" s="128"/>
    </row>
    <row r="402">
      <c r="B402" s="8"/>
      <c r="C402" s="8"/>
      <c r="D402" s="8"/>
      <c r="E402" s="8"/>
      <c r="F402" s="129"/>
      <c r="G402" s="8"/>
      <c r="L402" s="172"/>
      <c r="Q402" s="128"/>
    </row>
    <row r="403">
      <c r="B403" s="8"/>
      <c r="C403" s="8"/>
      <c r="D403" s="8"/>
      <c r="E403" s="8"/>
      <c r="F403" s="129"/>
      <c r="G403" s="8"/>
      <c r="L403" s="172"/>
      <c r="Q403" s="128"/>
    </row>
    <row r="404">
      <c r="B404" s="8"/>
      <c r="C404" s="8"/>
      <c r="D404" s="8"/>
      <c r="E404" s="8"/>
      <c r="F404" s="129"/>
      <c r="G404" s="8"/>
      <c r="L404" s="172"/>
      <c r="Q404" s="128"/>
    </row>
    <row r="405">
      <c r="B405" s="8"/>
      <c r="C405" s="8"/>
      <c r="D405" s="8"/>
      <c r="E405" s="8"/>
      <c r="F405" s="129"/>
      <c r="G405" s="8"/>
      <c r="L405" s="172"/>
      <c r="Q405" s="128"/>
    </row>
    <row r="406">
      <c r="B406" s="8"/>
      <c r="C406" s="8"/>
      <c r="D406" s="8"/>
      <c r="E406" s="8"/>
      <c r="F406" s="129"/>
      <c r="G406" s="8"/>
      <c r="L406" s="172"/>
      <c r="Q406" s="128"/>
    </row>
    <row r="407">
      <c r="B407" s="8"/>
      <c r="C407" s="8"/>
      <c r="D407" s="8"/>
      <c r="E407" s="8"/>
      <c r="F407" s="129"/>
      <c r="G407" s="8"/>
      <c r="L407" s="172"/>
      <c r="Q407" s="128"/>
    </row>
    <row r="408">
      <c r="B408" s="8"/>
      <c r="C408" s="8"/>
      <c r="D408" s="8"/>
      <c r="E408" s="8"/>
      <c r="F408" s="129"/>
      <c r="G408" s="8"/>
      <c r="L408" s="172"/>
      <c r="Q408" s="128"/>
    </row>
    <row r="409">
      <c r="B409" s="8"/>
      <c r="C409" s="8"/>
      <c r="D409" s="8"/>
      <c r="E409" s="8"/>
      <c r="F409" s="129"/>
      <c r="G409" s="8"/>
      <c r="L409" s="172"/>
      <c r="Q409" s="128"/>
    </row>
    <row r="410">
      <c r="B410" s="8"/>
      <c r="C410" s="8"/>
      <c r="D410" s="8"/>
      <c r="E410" s="8"/>
      <c r="F410" s="129"/>
      <c r="G410" s="8"/>
      <c r="L410" s="172"/>
      <c r="Q410" s="128"/>
    </row>
    <row r="411">
      <c r="B411" s="8"/>
      <c r="C411" s="8"/>
      <c r="D411" s="8"/>
      <c r="E411" s="8"/>
      <c r="F411" s="129"/>
      <c r="G411" s="8"/>
      <c r="L411" s="172"/>
      <c r="Q411" s="128"/>
    </row>
    <row r="412">
      <c r="B412" s="8"/>
      <c r="C412" s="8"/>
      <c r="D412" s="8"/>
      <c r="E412" s="8"/>
      <c r="F412" s="129"/>
      <c r="G412" s="8"/>
      <c r="L412" s="172"/>
      <c r="Q412" s="128"/>
    </row>
    <row r="413">
      <c r="B413" s="8"/>
      <c r="C413" s="8"/>
      <c r="D413" s="8"/>
      <c r="E413" s="8"/>
      <c r="F413" s="129"/>
      <c r="G413" s="8"/>
      <c r="L413" s="172"/>
      <c r="Q413" s="128"/>
    </row>
    <row r="414">
      <c r="B414" s="8"/>
      <c r="C414" s="8"/>
      <c r="D414" s="8"/>
      <c r="E414" s="8"/>
      <c r="F414" s="129"/>
      <c r="G414" s="8"/>
      <c r="L414" s="172"/>
      <c r="Q414" s="128"/>
    </row>
    <row r="415">
      <c r="B415" s="8"/>
      <c r="C415" s="8"/>
      <c r="D415" s="8"/>
      <c r="E415" s="8"/>
      <c r="F415" s="129"/>
      <c r="G415" s="8"/>
      <c r="L415" s="172"/>
      <c r="Q415" s="128"/>
    </row>
    <row r="416">
      <c r="B416" s="8"/>
      <c r="C416" s="8"/>
      <c r="D416" s="8"/>
      <c r="E416" s="8"/>
      <c r="F416" s="129"/>
      <c r="G416" s="8"/>
      <c r="L416" s="172"/>
      <c r="Q416" s="128"/>
    </row>
    <row r="417">
      <c r="B417" s="8"/>
      <c r="C417" s="8"/>
      <c r="D417" s="8"/>
      <c r="E417" s="8"/>
      <c r="F417" s="129"/>
      <c r="G417" s="8"/>
      <c r="L417" s="172"/>
      <c r="Q417" s="128"/>
    </row>
    <row r="418">
      <c r="B418" s="8"/>
      <c r="C418" s="8"/>
      <c r="D418" s="8"/>
      <c r="E418" s="8"/>
      <c r="F418" s="129"/>
      <c r="G418" s="8"/>
      <c r="L418" s="172"/>
      <c r="Q418" s="128"/>
    </row>
    <row r="419">
      <c r="B419" s="8"/>
      <c r="C419" s="8"/>
      <c r="D419" s="8"/>
      <c r="E419" s="8"/>
      <c r="F419" s="129"/>
      <c r="G419" s="8"/>
      <c r="L419" s="172"/>
      <c r="Q419" s="128"/>
    </row>
    <row r="420">
      <c r="B420" s="8"/>
      <c r="C420" s="8"/>
      <c r="D420" s="8"/>
      <c r="E420" s="8"/>
      <c r="F420" s="129"/>
      <c r="G420" s="8"/>
      <c r="L420" s="172"/>
      <c r="Q420" s="128"/>
    </row>
    <row r="421">
      <c r="B421" s="8"/>
      <c r="C421" s="8"/>
      <c r="D421" s="8"/>
      <c r="E421" s="8"/>
      <c r="F421" s="129"/>
      <c r="G421" s="8"/>
      <c r="L421" s="172"/>
      <c r="Q421" s="128"/>
    </row>
    <row r="422">
      <c r="B422" s="8"/>
      <c r="C422" s="8"/>
      <c r="D422" s="8"/>
      <c r="E422" s="8"/>
      <c r="F422" s="129"/>
      <c r="G422" s="8"/>
      <c r="L422" s="172"/>
      <c r="Q422" s="128"/>
    </row>
    <row r="423">
      <c r="B423" s="8"/>
      <c r="C423" s="8"/>
      <c r="D423" s="8"/>
      <c r="E423" s="8"/>
      <c r="F423" s="129"/>
      <c r="G423" s="8"/>
      <c r="L423" s="172"/>
      <c r="Q423" s="128"/>
    </row>
    <row r="424">
      <c r="B424" s="8"/>
      <c r="C424" s="8"/>
      <c r="D424" s="8"/>
      <c r="E424" s="8"/>
      <c r="F424" s="129"/>
      <c r="G424" s="8"/>
      <c r="L424" s="172"/>
      <c r="Q424" s="128"/>
    </row>
    <row r="425">
      <c r="B425" s="8"/>
      <c r="C425" s="8"/>
      <c r="D425" s="8"/>
      <c r="E425" s="8"/>
      <c r="F425" s="129"/>
      <c r="G425" s="8"/>
      <c r="L425" s="172"/>
      <c r="Q425" s="128"/>
    </row>
    <row r="426">
      <c r="B426" s="8"/>
      <c r="C426" s="8"/>
      <c r="D426" s="8"/>
      <c r="E426" s="8"/>
      <c r="F426" s="129"/>
      <c r="G426" s="8"/>
      <c r="L426" s="172"/>
      <c r="Q426" s="128"/>
    </row>
    <row r="427">
      <c r="B427" s="8"/>
      <c r="C427" s="8"/>
      <c r="D427" s="8"/>
      <c r="E427" s="8"/>
      <c r="F427" s="129"/>
      <c r="G427" s="8"/>
      <c r="L427" s="172"/>
      <c r="Q427" s="128"/>
    </row>
    <row r="428">
      <c r="B428" s="8"/>
      <c r="C428" s="8"/>
      <c r="D428" s="8"/>
      <c r="E428" s="8"/>
      <c r="F428" s="129"/>
      <c r="G428" s="8"/>
      <c r="L428" s="172"/>
      <c r="Q428" s="128"/>
    </row>
    <row r="429">
      <c r="B429" s="8"/>
      <c r="C429" s="8"/>
      <c r="D429" s="8"/>
      <c r="E429" s="8"/>
      <c r="F429" s="129"/>
      <c r="G429" s="8"/>
      <c r="L429" s="172"/>
      <c r="Q429" s="128"/>
    </row>
    <row r="430">
      <c r="B430" s="8"/>
      <c r="C430" s="8"/>
      <c r="D430" s="8"/>
      <c r="E430" s="8"/>
      <c r="F430" s="129"/>
      <c r="G430" s="8"/>
      <c r="L430" s="172"/>
      <c r="Q430" s="128"/>
    </row>
    <row r="431">
      <c r="B431" s="8"/>
      <c r="C431" s="8"/>
      <c r="D431" s="8"/>
      <c r="E431" s="8"/>
      <c r="F431" s="129"/>
      <c r="G431" s="8"/>
      <c r="L431" s="172"/>
      <c r="Q431" s="128"/>
    </row>
    <row r="432">
      <c r="B432" s="8"/>
      <c r="C432" s="8"/>
      <c r="D432" s="8"/>
      <c r="E432" s="8"/>
      <c r="F432" s="129"/>
      <c r="G432" s="8"/>
      <c r="L432" s="172"/>
      <c r="Q432" s="128"/>
    </row>
    <row r="433">
      <c r="B433" s="8"/>
      <c r="C433" s="8"/>
      <c r="D433" s="8"/>
      <c r="E433" s="8"/>
      <c r="F433" s="129"/>
      <c r="G433" s="8"/>
      <c r="L433" s="172"/>
      <c r="Q433" s="128"/>
    </row>
    <row r="434">
      <c r="B434" s="8"/>
      <c r="C434" s="8"/>
      <c r="D434" s="8"/>
      <c r="E434" s="8"/>
      <c r="F434" s="129"/>
      <c r="G434" s="8"/>
      <c r="L434" s="172"/>
      <c r="Q434" s="128"/>
    </row>
    <row r="435">
      <c r="B435" s="8"/>
      <c r="C435" s="8"/>
      <c r="D435" s="8"/>
      <c r="E435" s="8"/>
      <c r="F435" s="129"/>
      <c r="G435" s="8"/>
      <c r="L435" s="172"/>
      <c r="Q435" s="128"/>
    </row>
    <row r="436">
      <c r="B436" s="8"/>
      <c r="C436" s="8"/>
      <c r="D436" s="8"/>
      <c r="E436" s="8"/>
      <c r="F436" s="129"/>
      <c r="G436" s="8"/>
      <c r="L436" s="172"/>
      <c r="Q436" s="128"/>
    </row>
    <row r="437">
      <c r="B437" s="8"/>
      <c r="C437" s="8"/>
      <c r="D437" s="8"/>
      <c r="E437" s="8"/>
      <c r="F437" s="129"/>
      <c r="G437" s="8"/>
      <c r="L437" s="172"/>
      <c r="Q437" s="128"/>
    </row>
    <row r="438">
      <c r="B438" s="8"/>
      <c r="C438" s="8"/>
      <c r="D438" s="8"/>
      <c r="E438" s="8"/>
      <c r="F438" s="129"/>
      <c r="G438" s="8"/>
      <c r="L438" s="172"/>
      <c r="Q438" s="128"/>
    </row>
    <row r="439">
      <c r="B439" s="8"/>
      <c r="C439" s="8"/>
      <c r="D439" s="8"/>
      <c r="E439" s="8"/>
      <c r="F439" s="129"/>
      <c r="G439" s="8"/>
      <c r="L439" s="172"/>
      <c r="Q439" s="128"/>
    </row>
    <row r="440">
      <c r="B440" s="8"/>
      <c r="C440" s="8"/>
      <c r="D440" s="8"/>
      <c r="E440" s="8"/>
      <c r="F440" s="129"/>
      <c r="G440" s="8"/>
      <c r="L440" s="172"/>
      <c r="Q440" s="128"/>
    </row>
    <row r="441">
      <c r="B441" s="8"/>
      <c r="C441" s="8"/>
      <c r="D441" s="8"/>
      <c r="E441" s="8"/>
      <c r="F441" s="129"/>
      <c r="G441" s="8"/>
      <c r="L441" s="172"/>
      <c r="Q441" s="128"/>
    </row>
    <row r="442">
      <c r="B442" s="8"/>
      <c r="C442" s="8"/>
      <c r="D442" s="8"/>
      <c r="E442" s="8"/>
      <c r="F442" s="129"/>
      <c r="G442" s="8"/>
      <c r="L442" s="172"/>
      <c r="Q442" s="128"/>
    </row>
    <row r="443">
      <c r="B443" s="8"/>
      <c r="C443" s="8"/>
      <c r="D443" s="8"/>
      <c r="E443" s="8"/>
      <c r="F443" s="129"/>
      <c r="G443" s="8"/>
      <c r="L443" s="172"/>
      <c r="Q443" s="128"/>
    </row>
    <row r="444">
      <c r="B444" s="8"/>
      <c r="C444" s="8"/>
      <c r="D444" s="8"/>
      <c r="E444" s="8"/>
      <c r="F444" s="129"/>
      <c r="G444" s="8"/>
      <c r="L444" s="172"/>
      <c r="Q444" s="128"/>
    </row>
    <row r="445">
      <c r="B445" s="8"/>
      <c r="C445" s="8"/>
      <c r="D445" s="8"/>
      <c r="E445" s="8"/>
      <c r="F445" s="129"/>
      <c r="G445" s="8"/>
      <c r="L445" s="172"/>
      <c r="Q445" s="128"/>
    </row>
    <row r="446">
      <c r="B446" s="8"/>
      <c r="C446" s="8"/>
      <c r="D446" s="8"/>
      <c r="E446" s="8"/>
      <c r="F446" s="129"/>
      <c r="G446" s="8"/>
      <c r="L446" s="172"/>
      <c r="Q446" s="128"/>
    </row>
    <row r="447">
      <c r="B447" s="8"/>
      <c r="C447" s="8"/>
      <c r="D447" s="8"/>
      <c r="E447" s="8"/>
      <c r="F447" s="129"/>
      <c r="G447" s="8"/>
      <c r="L447" s="172"/>
      <c r="Q447" s="128"/>
    </row>
    <row r="448">
      <c r="B448" s="8"/>
      <c r="C448" s="8"/>
      <c r="D448" s="8"/>
      <c r="E448" s="8"/>
      <c r="F448" s="129"/>
      <c r="G448" s="8"/>
      <c r="L448" s="172"/>
      <c r="Q448" s="128"/>
    </row>
    <row r="449">
      <c r="B449" s="8"/>
      <c r="C449" s="8"/>
      <c r="D449" s="8"/>
      <c r="E449" s="8"/>
      <c r="F449" s="129"/>
      <c r="G449" s="8"/>
      <c r="L449" s="172"/>
      <c r="Q449" s="128"/>
    </row>
    <row r="450">
      <c r="B450" s="8"/>
      <c r="C450" s="8"/>
      <c r="D450" s="8"/>
      <c r="E450" s="8"/>
      <c r="F450" s="129"/>
      <c r="G450" s="8"/>
      <c r="L450" s="172"/>
      <c r="Q450" s="128"/>
    </row>
    <row r="451">
      <c r="B451" s="8"/>
      <c r="C451" s="8"/>
      <c r="D451" s="8"/>
      <c r="E451" s="8"/>
      <c r="F451" s="129"/>
      <c r="G451" s="8"/>
      <c r="L451" s="172"/>
      <c r="Q451" s="128"/>
    </row>
    <row r="452">
      <c r="B452" s="8"/>
      <c r="C452" s="8"/>
      <c r="D452" s="8"/>
      <c r="E452" s="8"/>
      <c r="F452" s="129"/>
      <c r="G452" s="8"/>
      <c r="L452" s="172"/>
      <c r="Q452" s="128"/>
    </row>
    <row r="453">
      <c r="B453" s="8"/>
      <c r="C453" s="8"/>
      <c r="D453" s="8"/>
      <c r="E453" s="8"/>
      <c r="F453" s="129"/>
      <c r="G453" s="8"/>
      <c r="L453" s="172"/>
      <c r="Q453" s="128"/>
    </row>
    <row r="454">
      <c r="B454" s="8"/>
      <c r="C454" s="8"/>
      <c r="D454" s="8"/>
      <c r="E454" s="8"/>
      <c r="F454" s="129"/>
      <c r="G454" s="8"/>
      <c r="L454" s="172"/>
      <c r="Q454" s="128"/>
    </row>
    <row r="455">
      <c r="B455" s="8"/>
      <c r="C455" s="8"/>
      <c r="D455" s="8"/>
      <c r="E455" s="8"/>
      <c r="F455" s="129"/>
      <c r="G455" s="8"/>
      <c r="L455" s="172"/>
      <c r="Q455" s="128"/>
    </row>
    <row r="456">
      <c r="B456" s="8"/>
      <c r="C456" s="8"/>
      <c r="D456" s="8"/>
      <c r="E456" s="8"/>
      <c r="F456" s="129"/>
      <c r="G456" s="8"/>
      <c r="L456" s="172"/>
      <c r="Q456" s="128"/>
    </row>
    <row r="457">
      <c r="B457" s="8"/>
      <c r="C457" s="8"/>
      <c r="D457" s="8"/>
      <c r="E457" s="8"/>
      <c r="F457" s="129"/>
      <c r="G457" s="8"/>
      <c r="L457" s="172"/>
      <c r="Q457" s="128"/>
    </row>
    <row r="458">
      <c r="B458" s="8"/>
      <c r="C458" s="8"/>
      <c r="D458" s="8"/>
      <c r="E458" s="8"/>
      <c r="F458" s="129"/>
      <c r="G458" s="8"/>
      <c r="L458" s="172"/>
      <c r="Q458" s="128"/>
    </row>
    <row r="459">
      <c r="B459" s="8"/>
      <c r="C459" s="8"/>
      <c r="D459" s="8"/>
      <c r="E459" s="8"/>
      <c r="F459" s="129"/>
      <c r="G459" s="8"/>
      <c r="L459" s="172"/>
      <c r="Q459" s="128"/>
    </row>
    <row r="460">
      <c r="B460" s="8"/>
      <c r="C460" s="8"/>
      <c r="D460" s="8"/>
      <c r="E460" s="8"/>
      <c r="F460" s="129"/>
      <c r="G460" s="8"/>
      <c r="L460" s="172"/>
      <c r="Q460" s="128"/>
    </row>
    <row r="461">
      <c r="B461" s="8"/>
      <c r="C461" s="8"/>
      <c r="D461" s="8"/>
      <c r="E461" s="8"/>
      <c r="F461" s="129"/>
      <c r="G461" s="8"/>
      <c r="L461" s="172"/>
      <c r="Q461" s="128"/>
    </row>
    <row r="462">
      <c r="B462" s="8"/>
      <c r="C462" s="8"/>
      <c r="D462" s="8"/>
      <c r="E462" s="8"/>
      <c r="F462" s="129"/>
      <c r="G462" s="8"/>
      <c r="L462" s="172"/>
      <c r="Q462" s="128"/>
    </row>
    <row r="463">
      <c r="B463" s="8"/>
      <c r="C463" s="8"/>
      <c r="D463" s="8"/>
      <c r="E463" s="8"/>
      <c r="F463" s="129"/>
      <c r="G463" s="8"/>
      <c r="L463" s="172"/>
      <c r="Q463" s="128"/>
    </row>
    <row r="464">
      <c r="B464" s="8"/>
      <c r="C464" s="8"/>
      <c r="D464" s="8"/>
      <c r="E464" s="8"/>
      <c r="F464" s="129"/>
      <c r="G464" s="8"/>
      <c r="L464" s="172"/>
      <c r="Q464" s="128"/>
    </row>
    <row r="465">
      <c r="B465" s="8"/>
      <c r="C465" s="8"/>
      <c r="D465" s="8"/>
      <c r="E465" s="8"/>
      <c r="F465" s="129"/>
      <c r="G465" s="8"/>
      <c r="L465" s="172"/>
      <c r="Q465" s="128"/>
    </row>
    <row r="466">
      <c r="B466" s="8"/>
      <c r="C466" s="8"/>
      <c r="D466" s="8"/>
      <c r="E466" s="8"/>
      <c r="F466" s="129"/>
      <c r="G466" s="8"/>
      <c r="L466" s="172"/>
      <c r="Q466" s="128"/>
    </row>
    <row r="467">
      <c r="B467" s="8"/>
      <c r="C467" s="8"/>
      <c r="D467" s="8"/>
      <c r="E467" s="8"/>
      <c r="F467" s="129"/>
      <c r="G467" s="8"/>
      <c r="L467" s="172"/>
      <c r="Q467" s="128"/>
    </row>
    <row r="468">
      <c r="B468" s="8"/>
      <c r="C468" s="8"/>
      <c r="D468" s="8"/>
      <c r="E468" s="8"/>
      <c r="F468" s="129"/>
      <c r="G468" s="8"/>
      <c r="L468" s="172"/>
      <c r="Q468" s="128"/>
    </row>
    <row r="469">
      <c r="B469" s="8"/>
      <c r="C469" s="8"/>
      <c r="D469" s="8"/>
      <c r="E469" s="8"/>
      <c r="F469" s="129"/>
      <c r="G469" s="8"/>
      <c r="L469" s="172"/>
      <c r="Q469" s="128"/>
    </row>
    <row r="470">
      <c r="B470" s="8"/>
      <c r="C470" s="8"/>
      <c r="D470" s="8"/>
      <c r="E470" s="8"/>
      <c r="F470" s="129"/>
      <c r="G470" s="8"/>
      <c r="L470" s="172"/>
      <c r="Q470" s="128"/>
    </row>
    <row r="471">
      <c r="B471" s="8"/>
      <c r="C471" s="8"/>
      <c r="D471" s="8"/>
      <c r="E471" s="8"/>
      <c r="F471" s="129"/>
      <c r="G471" s="8"/>
      <c r="L471" s="172"/>
      <c r="Q471" s="128"/>
    </row>
    <row r="472">
      <c r="B472" s="8"/>
      <c r="C472" s="8"/>
      <c r="D472" s="8"/>
      <c r="E472" s="8"/>
      <c r="F472" s="129"/>
      <c r="G472" s="8"/>
      <c r="L472" s="172"/>
      <c r="Q472" s="128"/>
    </row>
    <row r="473">
      <c r="B473" s="8"/>
      <c r="C473" s="8"/>
      <c r="D473" s="8"/>
      <c r="E473" s="8"/>
      <c r="F473" s="129"/>
      <c r="G473" s="8"/>
      <c r="L473" s="172"/>
      <c r="Q473" s="128"/>
    </row>
    <row r="474">
      <c r="B474" s="8"/>
      <c r="C474" s="8"/>
      <c r="D474" s="8"/>
      <c r="E474" s="8"/>
      <c r="F474" s="129"/>
      <c r="G474" s="8"/>
      <c r="L474" s="172"/>
      <c r="Q474" s="128"/>
    </row>
    <row r="475">
      <c r="B475" s="8"/>
      <c r="C475" s="8"/>
      <c r="D475" s="8"/>
      <c r="E475" s="8"/>
      <c r="F475" s="129"/>
      <c r="G475" s="8"/>
      <c r="L475" s="172"/>
      <c r="Q475" s="128"/>
    </row>
    <row r="476">
      <c r="B476" s="8"/>
      <c r="C476" s="8"/>
      <c r="D476" s="8"/>
      <c r="E476" s="8"/>
      <c r="F476" s="129"/>
      <c r="G476" s="8"/>
      <c r="L476" s="172"/>
      <c r="Q476" s="128"/>
    </row>
    <row r="477">
      <c r="B477" s="8"/>
      <c r="C477" s="8"/>
      <c r="D477" s="8"/>
      <c r="E477" s="8"/>
      <c r="F477" s="129"/>
      <c r="G477" s="8"/>
      <c r="L477" s="172"/>
      <c r="Q477" s="128"/>
    </row>
    <row r="478">
      <c r="B478" s="8"/>
      <c r="C478" s="8"/>
      <c r="D478" s="8"/>
      <c r="E478" s="8"/>
      <c r="F478" s="129"/>
      <c r="G478" s="8"/>
      <c r="L478" s="172"/>
      <c r="Q478" s="128"/>
    </row>
    <row r="479">
      <c r="B479" s="8"/>
      <c r="C479" s="8"/>
      <c r="D479" s="8"/>
      <c r="E479" s="8"/>
      <c r="F479" s="129"/>
      <c r="G479" s="8"/>
      <c r="L479" s="172"/>
      <c r="Q479" s="128"/>
    </row>
    <row r="480">
      <c r="B480" s="8"/>
      <c r="C480" s="8"/>
      <c r="D480" s="8"/>
      <c r="E480" s="8"/>
      <c r="F480" s="129"/>
      <c r="G480" s="8"/>
      <c r="L480" s="172"/>
      <c r="Q480" s="128"/>
    </row>
    <row r="481">
      <c r="B481" s="8"/>
      <c r="C481" s="8"/>
      <c r="D481" s="8"/>
      <c r="E481" s="8"/>
      <c r="F481" s="129"/>
      <c r="G481" s="8"/>
      <c r="L481" s="172"/>
      <c r="Q481" s="128"/>
    </row>
    <row r="482">
      <c r="B482" s="8"/>
      <c r="C482" s="8"/>
      <c r="D482" s="8"/>
      <c r="E482" s="8"/>
      <c r="F482" s="129"/>
      <c r="G482" s="8"/>
      <c r="L482" s="172"/>
      <c r="Q482" s="128"/>
    </row>
    <row r="483">
      <c r="B483" s="8"/>
      <c r="C483" s="8"/>
      <c r="D483" s="8"/>
      <c r="E483" s="8"/>
      <c r="F483" s="129"/>
      <c r="G483" s="8"/>
      <c r="L483" s="172"/>
      <c r="Q483" s="128"/>
    </row>
    <row r="484">
      <c r="B484" s="8"/>
      <c r="C484" s="8"/>
      <c r="D484" s="8"/>
      <c r="E484" s="8"/>
      <c r="F484" s="129"/>
      <c r="G484" s="8"/>
      <c r="L484" s="172"/>
      <c r="Q484" s="128"/>
    </row>
    <row r="485">
      <c r="B485" s="8"/>
      <c r="C485" s="8"/>
      <c r="D485" s="8"/>
      <c r="E485" s="8"/>
      <c r="F485" s="129"/>
      <c r="G485" s="8"/>
      <c r="L485" s="172"/>
      <c r="Q485" s="128"/>
    </row>
    <row r="486">
      <c r="B486" s="8"/>
      <c r="C486" s="8"/>
      <c r="D486" s="8"/>
      <c r="E486" s="8"/>
      <c r="F486" s="129"/>
      <c r="G486" s="8"/>
      <c r="L486" s="172"/>
      <c r="Q486" s="128"/>
    </row>
    <row r="487">
      <c r="B487" s="8"/>
      <c r="C487" s="8"/>
      <c r="D487" s="8"/>
      <c r="E487" s="8"/>
      <c r="F487" s="129"/>
      <c r="G487" s="8"/>
      <c r="L487" s="172"/>
      <c r="Q487" s="128"/>
    </row>
    <row r="488">
      <c r="B488" s="8"/>
      <c r="C488" s="8"/>
      <c r="D488" s="8"/>
      <c r="E488" s="8"/>
      <c r="F488" s="129"/>
      <c r="G488" s="8"/>
      <c r="L488" s="172"/>
      <c r="Q488" s="128"/>
    </row>
    <row r="489">
      <c r="B489" s="8"/>
      <c r="C489" s="8"/>
      <c r="D489" s="8"/>
      <c r="E489" s="8"/>
      <c r="F489" s="129"/>
      <c r="G489" s="8"/>
      <c r="L489" s="172"/>
      <c r="Q489" s="128"/>
    </row>
    <row r="490">
      <c r="B490" s="8"/>
      <c r="C490" s="8"/>
      <c r="D490" s="8"/>
      <c r="E490" s="8"/>
      <c r="F490" s="129"/>
      <c r="G490" s="8"/>
      <c r="L490" s="172"/>
      <c r="Q490" s="128"/>
    </row>
    <row r="491">
      <c r="B491" s="8"/>
      <c r="C491" s="8"/>
      <c r="D491" s="8"/>
      <c r="E491" s="8"/>
      <c r="F491" s="129"/>
      <c r="G491" s="8"/>
      <c r="L491" s="172"/>
      <c r="Q491" s="128"/>
    </row>
    <row r="492">
      <c r="B492" s="8"/>
      <c r="C492" s="8"/>
      <c r="D492" s="8"/>
      <c r="E492" s="8"/>
      <c r="F492" s="129"/>
      <c r="G492" s="8"/>
      <c r="L492" s="172"/>
      <c r="Q492" s="128"/>
    </row>
    <row r="493">
      <c r="B493" s="8"/>
      <c r="C493" s="8"/>
      <c r="D493" s="8"/>
      <c r="E493" s="8"/>
      <c r="F493" s="129"/>
      <c r="G493" s="8"/>
      <c r="L493" s="172"/>
      <c r="Q493" s="128"/>
    </row>
    <row r="494">
      <c r="B494" s="8"/>
      <c r="C494" s="8"/>
      <c r="D494" s="8"/>
      <c r="E494" s="8"/>
      <c r="F494" s="129"/>
      <c r="G494" s="8"/>
      <c r="L494" s="172"/>
      <c r="Q494" s="128"/>
    </row>
    <row r="495">
      <c r="B495" s="8"/>
      <c r="C495" s="8"/>
      <c r="D495" s="8"/>
      <c r="E495" s="8"/>
      <c r="F495" s="129"/>
      <c r="G495" s="8"/>
      <c r="L495" s="172"/>
      <c r="Q495" s="128"/>
    </row>
    <row r="496">
      <c r="B496" s="8"/>
      <c r="C496" s="8"/>
      <c r="D496" s="8"/>
      <c r="E496" s="8"/>
      <c r="F496" s="129"/>
      <c r="G496" s="8"/>
      <c r="L496" s="172"/>
      <c r="Q496" s="128"/>
    </row>
    <row r="497">
      <c r="B497" s="8"/>
      <c r="C497" s="8"/>
      <c r="D497" s="8"/>
      <c r="E497" s="8"/>
      <c r="F497" s="129"/>
      <c r="G497" s="8"/>
      <c r="L497" s="172"/>
      <c r="Q497" s="128"/>
    </row>
    <row r="498">
      <c r="B498" s="8"/>
      <c r="C498" s="8"/>
      <c r="D498" s="8"/>
      <c r="E498" s="8"/>
      <c r="F498" s="129"/>
      <c r="G498" s="8"/>
      <c r="L498" s="172"/>
      <c r="Q498" s="128"/>
    </row>
    <row r="499">
      <c r="B499" s="8"/>
      <c r="C499" s="8"/>
      <c r="D499" s="8"/>
      <c r="E499" s="8"/>
      <c r="F499" s="129"/>
      <c r="G499" s="8"/>
      <c r="L499" s="172"/>
      <c r="Q499" s="128"/>
    </row>
    <row r="500">
      <c r="B500" s="8"/>
      <c r="C500" s="8"/>
      <c r="D500" s="8"/>
      <c r="E500" s="8"/>
      <c r="F500" s="129"/>
      <c r="G500" s="8"/>
      <c r="L500" s="172"/>
      <c r="Q500" s="128"/>
    </row>
    <row r="501">
      <c r="B501" s="8"/>
      <c r="C501" s="8"/>
      <c r="D501" s="8"/>
      <c r="E501" s="8"/>
      <c r="F501" s="129"/>
      <c r="G501" s="8"/>
      <c r="L501" s="172"/>
      <c r="Q501" s="128"/>
    </row>
    <row r="502">
      <c r="B502" s="8"/>
      <c r="C502" s="8"/>
      <c r="D502" s="8"/>
      <c r="E502" s="8"/>
      <c r="F502" s="129"/>
      <c r="G502" s="8"/>
      <c r="L502" s="172"/>
      <c r="Q502" s="128"/>
    </row>
    <row r="503">
      <c r="B503" s="8"/>
      <c r="C503" s="8"/>
      <c r="D503" s="8"/>
      <c r="E503" s="8"/>
      <c r="F503" s="129"/>
      <c r="G503" s="8"/>
      <c r="L503" s="172"/>
      <c r="Q503" s="128"/>
    </row>
    <row r="504">
      <c r="B504" s="8"/>
      <c r="C504" s="8"/>
      <c r="D504" s="8"/>
      <c r="E504" s="8"/>
      <c r="F504" s="129"/>
      <c r="G504" s="8"/>
      <c r="L504" s="172"/>
      <c r="Q504" s="128"/>
    </row>
    <row r="505">
      <c r="B505" s="8"/>
      <c r="C505" s="8"/>
      <c r="D505" s="8"/>
      <c r="E505" s="8"/>
      <c r="F505" s="129"/>
      <c r="G505" s="8"/>
      <c r="L505" s="172"/>
      <c r="Q505" s="128"/>
    </row>
    <row r="506">
      <c r="B506" s="8"/>
      <c r="C506" s="8"/>
      <c r="D506" s="8"/>
      <c r="E506" s="8"/>
      <c r="F506" s="129"/>
      <c r="G506" s="8"/>
      <c r="L506" s="172"/>
      <c r="Q506" s="128"/>
    </row>
    <row r="507">
      <c r="B507" s="8"/>
      <c r="C507" s="8"/>
      <c r="D507" s="8"/>
      <c r="E507" s="8"/>
      <c r="F507" s="129"/>
      <c r="G507" s="8"/>
      <c r="L507" s="172"/>
      <c r="Q507" s="128"/>
    </row>
    <row r="508">
      <c r="B508" s="8"/>
      <c r="C508" s="8"/>
      <c r="D508" s="8"/>
      <c r="E508" s="8"/>
      <c r="F508" s="129"/>
      <c r="G508" s="8"/>
      <c r="L508" s="172"/>
      <c r="Q508" s="128"/>
    </row>
    <row r="509">
      <c r="B509" s="8"/>
      <c r="C509" s="8"/>
      <c r="D509" s="8"/>
      <c r="E509" s="8"/>
      <c r="F509" s="129"/>
      <c r="G509" s="8"/>
      <c r="L509" s="172"/>
      <c r="Q509" s="128"/>
    </row>
    <row r="510">
      <c r="B510" s="8"/>
      <c r="C510" s="8"/>
      <c r="D510" s="8"/>
      <c r="E510" s="8"/>
      <c r="F510" s="129"/>
      <c r="G510" s="8"/>
      <c r="L510" s="172"/>
      <c r="Q510" s="128"/>
    </row>
    <row r="511">
      <c r="B511" s="8"/>
      <c r="C511" s="8"/>
      <c r="D511" s="8"/>
      <c r="E511" s="8"/>
      <c r="F511" s="129"/>
      <c r="G511" s="8"/>
      <c r="L511" s="172"/>
      <c r="Q511" s="128"/>
    </row>
    <row r="512">
      <c r="B512" s="8"/>
      <c r="C512" s="8"/>
      <c r="D512" s="8"/>
      <c r="E512" s="8"/>
      <c r="F512" s="129"/>
      <c r="G512" s="8"/>
      <c r="L512" s="172"/>
      <c r="Q512" s="128"/>
    </row>
    <row r="513">
      <c r="B513" s="8"/>
      <c r="C513" s="8"/>
      <c r="D513" s="8"/>
      <c r="E513" s="8"/>
      <c r="F513" s="129"/>
      <c r="G513" s="8"/>
      <c r="L513" s="172"/>
      <c r="Q513" s="128"/>
    </row>
    <row r="514">
      <c r="B514" s="8"/>
      <c r="C514" s="8"/>
      <c r="D514" s="8"/>
      <c r="E514" s="8"/>
      <c r="F514" s="129"/>
      <c r="G514" s="8"/>
      <c r="L514" s="172"/>
      <c r="Q514" s="128"/>
    </row>
    <row r="515">
      <c r="B515" s="8"/>
      <c r="C515" s="8"/>
      <c r="D515" s="8"/>
      <c r="E515" s="8"/>
      <c r="F515" s="129"/>
      <c r="G515" s="8"/>
      <c r="L515" s="172"/>
      <c r="Q515" s="128"/>
    </row>
    <row r="516">
      <c r="B516" s="8"/>
      <c r="C516" s="8"/>
      <c r="D516" s="8"/>
      <c r="E516" s="8"/>
      <c r="F516" s="129"/>
      <c r="G516" s="8"/>
      <c r="L516" s="172"/>
      <c r="Q516" s="128"/>
    </row>
    <row r="517">
      <c r="B517" s="8"/>
      <c r="C517" s="8"/>
      <c r="D517" s="8"/>
      <c r="E517" s="8"/>
      <c r="F517" s="129"/>
      <c r="G517" s="8"/>
      <c r="L517" s="172"/>
      <c r="Q517" s="128"/>
    </row>
    <row r="518">
      <c r="B518" s="8"/>
      <c r="C518" s="8"/>
      <c r="D518" s="8"/>
      <c r="E518" s="8"/>
      <c r="F518" s="129"/>
      <c r="G518" s="8"/>
      <c r="L518" s="172"/>
      <c r="Q518" s="128"/>
    </row>
    <row r="519">
      <c r="B519" s="8"/>
      <c r="C519" s="8"/>
      <c r="D519" s="8"/>
      <c r="E519" s="8"/>
      <c r="F519" s="129"/>
      <c r="G519" s="8"/>
      <c r="L519" s="172"/>
      <c r="Q519" s="128"/>
    </row>
    <row r="520">
      <c r="B520" s="8"/>
      <c r="C520" s="8"/>
      <c r="D520" s="8"/>
      <c r="E520" s="8"/>
      <c r="F520" s="129"/>
      <c r="G520" s="8"/>
      <c r="L520" s="172"/>
      <c r="Q520" s="128"/>
    </row>
    <row r="521">
      <c r="B521" s="8"/>
      <c r="C521" s="8"/>
      <c r="D521" s="8"/>
      <c r="E521" s="8"/>
      <c r="F521" s="129"/>
      <c r="G521" s="8"/>
      <c r="L521" s="172"/>
      <c r="Q521" s="128"/>
    </row>
    <row r="522">
      <c r="B522" s="8"/>
      <c r="C522" s="8"/>
      <c r="D522" s="8"/>
      <c r="E522" s="8"/>
      <c r="F522" s="129"/>
      <c r="G522" s="8"/>
      <c r="L522" s="172"/>
      <c r="Q522" s="128"/>
    </row>
    <row r="523">
      <c r="B523" s="8"/>
      <c r="C523" s="8"/>
      <c r="D523" s="8"/>
      <c r="E523" s="8"/>
      <c r="F523" s="129"/>
      <c r="G523" s="8"/>
      <c r="L523" s="172"/>
      <c r="Q523" s="128"/>
    </row>
    <row r="524">
      <c r="B524" s="8"/>
      <c r="C524" s="8"/>
      <c r="D524" s="8"/>
      <c r="E524" s="8"/>
      <c r="F524" s="129"/>
      <c r="G524" s="8"/>
      <c r="L524" s="172"/>
      <c r="Q524" s="128"/>
    </row>
    <row r="525">
      <c r="B525" s="8"/>
      <c r="C525" s="8"/>
      <c r="D525" s="8"/>
      <c r="E525" s="8"/>
      <c r="F525" s="129"/>
      <c r="G525" s="8"/>
      <c r="L525" s="172"/>
      <c r="Q525" s="128"/>
    </row>
    <row r="526">
      <c r="B526" s="8"/>
      <c r="C526" s="8"/>
      <c r="D526" s="8"/>
      <c r="E526" s="8"/>
      <c r="F526" s="129"/>
      <c r="G526" s="8"/>
      <c r="L526" s="172"/>
      <c r="Q526" s="128"/>
    </row>
    <row r="527">
      <c r="B527" s="8"/>
      <c r="C527" s="8"/>
      <c r="D527" s="8"/>
      <c r="E527" s="8"/>
      <c r="F527" s="129"/>
      <c r="G527" s="8"/>
      <c r="L527" s="172"/>
      <c r="Q527" s="128"/>
    </row>
    <row r="528">
      <c r="B528" s="8"/>
      <c r="C528" s="8"/>
      <c r="D528" s="8"/>
      <c r="E528" s="8"/>
      <c r="F528" s="129"/>
      <c r="G528" s="8"/>
      <c r="L528" s="172"/>
      <c r="Q528" s="128"/>
    </row>
    <row r="529">
      <c r="B529" s="8"/>
      <c r="C529" s="8"/>
      <c r="D529" s="8"/>
      <c r="E529" s="8"/>
      <c r="F529" s="129"/>
      <c r="G529" s="8"/>
      <c r="L529" s="172"/>
      <c r="Q529" s="128"/>
    </row>
    <row r="530">
      <c r="B530" s="8"/>
      <c r="C530" s="8"/>
      <c r="D530" s="8"/>
      <c r="E530" s="8"/>
      <c r="F530" s="129"/>
      <c r="G530" s="8"/>
      <c r="L530" s="172"/>
      <c r="Q530" s="128"/>
    </row>
    <row r="531">
      <c r="B531" s="8"/>
      <c r="C531" s="8"/>
      <c r="D531" s="8"/>
      <c r="E531" s="8"/>
      <c r="F531" s="129"/>
      <c r="G531" s="8"/>
      <c r="L531" s="172"/>
      <c r="Q531" s="128"/>
    </row>
    <row r="532">
      <c r="B532" s="8"/>
      <c r="C532" s="8"/>
      <c r="D532" s="8"/>
      <c r="E532" s="8"/>
      <c r="F532" s="129"/>
      <c r="G532" s="8"/>
      <c r="L532" s="172"/>
      <c r="Q532" s="128"/>
    </row>
    <row r="533">
      <c r="B533" s="8"/>
      <c r="C533" s="8"/>
      <c r="D533" s="8"/>
      <c r="E533" s="8"/>
      <c r="F533" s="129"/>
      <c r="G533" s="8"/>
      <c r="L533" s="172"/>
      <c r="Q533" s="128"/>
    </row>
    <row r="534">
      <c r="B534" s="8"/>
      <c r="C534" s="8"/>
      <c r="D534" s="8"/>
      <c r="E534" s="8"/>
      <c r="F534" s="129"/>
      <c r="G534" s="8"/>
      <c r="L534" s="172"/>
      <c r="Q534" s="128"/>
    </row>
    <row r="535">
      <c r="B535" s="8"/>
      <c r="C535" s="8"/>
      <c r="D535" s="8"/>
      <c r="E535" s="8"/>
      <c r="F535" s="129"/>
      <c r="G535" s="8"/>
      <c r="L535" s="172"/>
      <c r="Q535" s="128"/>
    </row>
    <row r="536">
      <c r="B536" s="8"/>
      <c r="C536" s="8"/>
      <c r="D536" s="8"/>
      <c r="E536" s="8"/>
      <c r="F536" s="129"/>
      <c r="G536" s="8"/>
      <c r="L536" s="172"/>
      <c r="Q536" s="128"/>
    </row>
    <row r="537">
      <c r="B537" s="8"/>
      <c r="C537" s="8"/>
      <c r="D537" s="8"/>
      <c r="E537" s="8"/>
      <c r="F537" s="129"/>
      <c r="G537" s="8"/>
      <c r="L537" s="172"/>
      <c r="Q537" s="128"/>
    </row>
    <row r="538">
      <c r="B538" s="8"/>
      <c r="C538" s="8"/>
      <c r="D538" s="8"/>
      <c r="E538" s="8"/>
      <c r="F538" s="129"/>
      <c r="G538" s="8"/>
      <c r="L538" s="172"/>
      <c r="Q538" s="128"/>
    </row>
    <row r="539">
      <c r="B539" s="8"/>
      <c r="C539" s="8"/>
      <c r="D539" s="8"/>
      <c r="E539" s="8"/>
      <c r="F539" s="129"/>
      <c r="G539" s="8"/>
      <c r="L539" s="172"/>
      <c r="Q539" s="128"/>
    </row>
    <row r="540">
      <c r="B540" s="8"/>
      <c r="C540" s="8"/>
      <c r="D540" s="8"/>
      <c r="E540" s="8"/>
      <c r="F540" s="129"/>
      <c r="G540" s="8"/>
      <c r="L540" s="172"/>
      <c r="Q540" s="128"/>
    </row>
    <row r="541">
      <c r="B541" s="8"/>
      <c r="C541" s="8"/>
      <c r="D541" s="8"/>
      <c r="E541" s="8"/>
      <c r="F541" s="129"/>
      <c r="G541" s="8"/>
      <c r="L541" s="172"/>
      <c r="Q541" s="128"/>
    </row>
    <row r="542">
      <c r="B542" s="8"/>
      <c r="C542" s="8"/>
      <c r="D542" s="8"/>
      <c r="E542" s="8"/>
      <c r="F542" s="129"/>
      <c r="G542" s="8"/>
      <c r="L542" s="172"/>
      <c r="Q542" s="128"/>
    </row>
    <row r="543">
      <c r="B543" s="8"/>
      <c r="C543" s="8"/>
      <c r="D543" s="8"/>
      <c r="E543" s="8"/>
      <c r="F543" s="129"/>
      <c r="G543" s="8"/>
      <c r="L543" s="172"/>
      <c r="Q543" s="128"/>
    </row>
    <row r="544">
      <c r="B544" s="8"/>
      <c r="C544" s="8"/>
      <c r="D544" s="8"/>
      <c r="E544" s="8"/>
      <c r="F544" s="129"/>
      <c r="G544" s="8"/>
      <c r="L544" s="172"/>
      <c r="Q544" s="128"/>
    </row>
    <row r="545">
      <c r="B545" s="8"/>
      <c r="C545" s="8"/>
      <c r="D545" s="8"/>
      <c r="E545" s="8"/>
      <c r="F545" s="129"/>
      <c r="G545" s="8"/>
      <c r="L545" s="172"/>
      <c r="Q545" s="128"/>
    </row>
    <row r="546">
      <c r="B546" s="8"/>
      <c r="C546" s="8"/>
      <c r="D546" s="8"/>
      <c r="E546" s="8"/>
      <c r="F546" s="129"/>
      <c r="G546" s="8"/>
      <c r="L546" s="172"/>
      <c r="Q546" s="128"/>
    </row>
    <row r="547">
      <c r="B547" s="8"/>
      <c r="C547" s="8"/>
      <c r="D547" s="8"/>
      <c r="E547" s="8"/>
      <c r="F547" s="129"/>
      <c r="G547" s="8"/>
      <c r="L547" s="172"/>
      <c r="Q547" s="128"/>
    </row>
    <row r="548">
      <c r="B548" s="8"/>
      <c r="C548" s="8"/>
      <c r="D548" s="8"/>
      <c r="E548" s="8"/>
      <c r="F548" s="129"/>
      <c r="G548" s="8"/>
      <c r="L548" s="172"/>
      <c r="Q548" s="128"/>
    </row>
    <row r="549">
      <c r="B549" s="8"/>
      <c r="C549" s="8"/>
      <c r="D549" s="8"/>
      <c r="E549" s="8"/>
      <c r="F549" s="129"/>
      <c r="G549" s="8"/>
      <c r="L549" s="172"/>
      <c r="Q549" s="128"/>
    </row>
    <row r="550">
      <c r="B550" s="8"/>
      <c r="C550" s="8"/>
      <c r="D550" s="8"/>
      <c r="E550" s="8"/>
      <c r="F550" s="129"/>
      <c r="G550" s="8"/>
      <c r="L550" s="172"/>
      <c r="Q550" s="128"/>
    </row>
    <row r="551">
      <c r="B551" s="8"/>
      <c r="C551" s="8"/>
      <c r="D551" s="8"/>
      <c r="E551" s="8"/>
      <c r="F551" s="129"/>
      <c r="G551" s="8"/>
      <c r="L551" s="172"/>
      <c r="Q551" s="128"/>
    </row>
    <row r="552">
      <c r="B552" s="8"/>
      <c r="C552" s="8"/>
      <c r="D552" s="8"/>
      <c r="E552" s="8"/>
      <c r="F552" s="129"/>
      <c r="G552" s="8"/>
      <c r="L552" s="172"/>
      <c r="Q552" s="128"/>
    </row>
    <row r="553">
      <c r="B553" s="8"/>
      <c r="C553" s="8"/>
      <c r="D553" s="8"/>
      <c r="E553" s="8"/>
      <c r="F553" s="129"/>
      <c r="G553" s="8"/>
      <c r="L553" s="172"/>
      <c r="Q553" s="128"/>
    </row>
    <row r="554">
      <c r="B554" s="8"/>
      <c r="C554" s="8"/>
      <c r="D554" s="8"/>
      <c r="E554" s="8"/>
      <c r="F554" s="129"/>
      <c r="G554" s="8"/>
      <c r="L554" s="172"/>
      <c r="Q554" s="128"/>
    </row>
    <row r="555">
      <c r="B555" s="8"/>
      <c r="C555" s="8"/>
      <c r="D555" s="8"/>
      <c r="E555" s="8"/>
      <c r="F555" s="129"/>
      <c r="G555" s="8"/>
      <c r="L555" s="172"/>
      <c r="Q555" s="128"/>
    </row>
    <row r="556">
      <c r="B556" s="8"/>
      <c r="C556" s="8"/>
      <c r="D556" s="8"/>
      <c r="E556" s="8"/>
      <c r="F556" s="129"/>
      <c r="G556" s="8"/>
      <c r="L556" s="172"/>
      <c r="Q556" s="128"/>
    </row>
    <row r="557">
      <c r="B557" s="8"/>
      <c r="C557" s="8"/>
      <c r="D557" s="8"/>
      <c r="E557" s="8"/>
      <c r="F557" s="129"/>
      <c r="G557" s="8"/>
      <c r="L557" s="172"/>
      <c r="Q557" s="128"/>
    </row>
    <row r="558">
      <c r="B558" s="8"/>
      <c r="C558" s="8"/>
      <c r="D558" s="8"/>
      <c r="E558" s="8"/>
      <c r="F558" s="129"/>
      <c r="G558" s="8"/>
      <c r="L558" s="172"/>
      <c r="Q558" s="128"/>
    </row>
    <row r="559">
      <c r="B559" s="8"/>
      <c r="C559" s="8"/>
      <c r="D559" s="8"/>
      <c r="E559" s="8"/>
      <c r="F559" s="129"/>
      <c r="G559" s="8"/>
      <c r="L559" s="172"/>
      <c r="Q559" s="128"/>
    </row>
    <row r="560">
      <c r="B560" s="8"/>
      <c r="C560" s="8"/>
      <c r="D560" s="8"/>
      <c r="E560" s="8"/>
      <c r="F560" s="129"/>
      <c r="G560" s="8"/>
      <c r="L560" s="172"/>
      <c r="Q560" s="128"/>
    </row>
    <row r="561">
      <c r="B561" s="8"/>
      <c r="C561" s="8"/>
      <c r="D561" s="8"/>
      <c r="E561" s="8"/>
      <c r="F561" s="129"/>
      <c r="G561" s="8"/>
      <c r="L561" s="172"/>
      <c r="Q561" s="128"/>
    </row>
    <row r="562">
      <c r="B562" s="8"/>
      <c r="C562" s="8"/>
      <c r="D562" s="8"/>
      <c r="E562" s="8"/>
      <c r="F562" s="129"/>
      <c r="G562" s="8"/>
      <c r="L562" s="172"/>
      <c r="Q562" s="128"/>
    </row>
    <row r="563">
      <c r="B563" s="8"/>
      <c r="C563" s="8"/>
      <c r="D563" s="8"/>
      <c r="E563" s="8"/>
      <c r="F563" s="129"/>
      <c r="G563" s="8"/>
      <c r="L563" s="172"/>
      <c r="Q563" s="128"/>
    </row>
    <row r="564">
      <c r="B564" s="8"/>
      <c r="C564" s="8"/>
      <c r="D564" s="8"/>
      <c r="E564" s="8"/>
      <c r="F564" s="129"/>
      <c r="G564" s="8"/>
      <c r="L564" s="172"/>
      <c r="Q564" s="128"/>
    </row>
    <row r="565">
      <c r="B565" s="8"/>
      <c r="C565" s="8"/>
      <c r="D565" s="8"/>
      <c r="E565" s="8"/>
      <c r="F565" s="129"/>
      <c r="G565" s="8"/>
      <c r="L565" s="172"/>
      <c r="Q565" s="128"/>
    </row>
    <row r="566">
      <c r="B566" s="8"/>
      <c r="C566" s="8"/>
      <c r="D566" s="8"/>
      <c r="E566" s="8"/>
      <c r="F566" s="129"/>
      <c r="G566" s="8"/>
      <c r="L566" s="172"/>
      <c r="Q566" s="128"/>
    </row>
    <row r="567">
      <c r="B567" s="8"/>
      <c r="C567" s="8"/>
      <c r="D567" s="8"/>
      <c r="E567" s="8"/>
      <c r="F567" s="129"/>
      <c r="G567" s="8"/>
      <c r="L567" s="172"/>
      <c r="Q567" s="128"/>
    </row>
    <row r="568">
      <c r="B568" s="8"/>
      <c r="C568" s="8"/>
      <c r="D568" s="8"/>
      <c r="E568" s="8"/>
      <c r="F568" s="129"/>
      <c r="G568" s="8"/>
      <c r="L568" s="172"/>
      <c r="Q568" s="128"/>
    </row>
    <row r="569">
      <c r="B569" s="8"/>
      <c r="C569" s="8"/>
      <c r="D569" s="8"/>
      <c r="E569" s="8"/>
      <c r="F569" s="129"/>
      <c r="G569" s="8"/>
      <c r="L569" s="172"/>
      <c r="Q569" s="128"/>
    </row>
    <row r="570">
      <c r="B570" s="8"/>
      <c r="C570" s="8"/>
      <c r="D570" s="8"/>
      <c r="E570" s="8"/>
      <c r="F570" s="129"/>
      <c r="G570" s="8"/>
      <c r="L570" s="172"/>
      <c r="Q570" s="128"/>
    </row>
    <row r="571">
      <c r="B571" s="8"/>
      <c r="C571" s="8"/>
      <c r="D571" s="8"/>
      <c r="E571" s="8"/>
      <c r="F571" s="129"/>
      <c r="G571" s="8"/>
      <c r="L571" s="172"/>
      <c r="Q571" s="128"/>
    </row>
    <row r="572">
      <c r="B572" s="8"/>
      <c r="C572" s="8"/>
      <c r="D572" s="8"/>
      <c r="E572" s="8"/>
      <c r="F572" s="129"/>
      <c r="G572" s="8"/>
      <c r="L572" s="172"/>
      <c r="Q572" s="128"/>
    </row>
    <row r="573">
      <c r="B573" s="8"/>
      <c r="C573" s="8"/>
      <c r="D573" s="8"/>
      <c r="E573" s="8"/>
      <c r="F573" s="129"/>
      <c r="G573" s="8"/>
      <c r="L573" s="172"/>
      <c r="Q573" s="128"/>
    </row>
    <row r="574">
      <c r="B574" s="8"/>
      <c r="C574" s="8"/>
      <c r="D574" s="8"/>
      <c r="E574" s="8"/>
      <c r="F574" s="129"/>
      <c r="G574" s="8"/>
      <c r="L574" s="172"/>
      <c r="Q574" s="128"/>
    </row>
    <row r="575">
      <c r="B575" s="8"/>
      <c r="C575" s="8"/>
      <c r="D575" s="8"/>
      <c r="E575" s="8"/>
      <c r="F575" s="129"/>
      <c r="G575" s="8"/>
      <c r="L575" s="172"/>
      <c r="Q575" s="128"/>
    </row>
    <row r="576">
      <c r="B576" s="8"/>
      <c r="C576" s="8"/>
      <c r="D576" s="8"/>
      <c r="E576" s="8"/>
      <c r="F576" s="129"/>
      <c r="G576" s="8"/>
      <c r="L576" s="172"/>
      <c r="Q576" s="128"/>
    </row>
    <row r="577">
      <c r="B577" s="8"/>
      <c r="C577" s="8"/>
      <c r="D577" s="8"/>
      <c r="E577" s="8"/>
      <c r="F577" s="129"/>
      <c r="G577" s="8"/>
      <c r="L577" s="172"/>
      <c r="Q577" s="128"/>
    </row>
    <row r="578">
      <c r="B578" s="8"/>
      <c r="C578" s="8"/>
      <c r="D578" s="8"/>
      <c r="E578" s="8"/>
      <c r="F578" s="129"/>
      <c r="G578" s="8"/>
      <c r="L578" s="172"/>
      <c r="Q578" s="128"/>
    </row>
    <row r="579">
      <c r="B579" s="8"/>
      <c r="C579" s="8"/>
      <c r="D579" s="8"/>
      <c r="E579" s="8"/>
      <c r="F579" s="129"/>
      <c r="G579" s="8"/>
      <c r="L579" s="172"/>
      <c r="Q579" s="128"/>
    </row>
    <row r="580">
      <c r="B580" s="8"/>
      <c r="C580" s="8"/>
      <c r="D580" s="8"/>
      <c r="E580" s="8"/>
      <c r="F580" s="129"/>
      <c r="G580" s="8"/>
      <c r="L580" s="172"/>
      <c r="Q580" s="128"/>
    </row>
    <row r="581">
      <c r="B581" s="8"/>
      <c r="C581" s="8"/>
      <c r="D581" s="8"/>
      <c r="E581" s="8"/>
      <c r="F581" s="129"/>
      <c r="G581" s="8"/>
      <c r="L581" s="172"/>
      <c r="Q581" s="128"/>
    </row>
    <row r="582">
      <c r="B582" s="8"/>
      <c r="C582" s="8"/>
      <c r="D582" s="8"/>
      <c r="E582" s="8"/>
      <c r="F582" s="129"/>
      <c r="G582" s="8"/>
      <c r="L582" s="172"/>
      <c r="Q582" s="128"/>
    </row>
    <row r="583">
      <c r="B583" s="8"/>
      <c r="C583" s="8"/>
      <c r="D583" s="8"/>
      <c r="E583" s="8"/>
      <c r="F583" s="129"/>
      <c r="G583" s="8"/>
      <c r="L583" s="172"/>
      <c r="Q583" s="128"/>
    </row>
    <row r="584">
      <c r="B584" s="8"/>
      <c r="C584" s="8"/>
      <c r="D584" s="8"/>
      <c r="E584" s="8"/>
      <c r="F584" s="129"/>
      <c r="G584" s="8"/>
      <c r="L584" s="172"/>
      <c r="Q584" s="128"/>
    </row>
    <row r="585">
      <c r="B585" s="8"/>
      <c r="C585" s="8"/>
      <c r="D585" s="8"/>
      <c r="E585" s="8"/>
      <c r="F585" s="129"/>
      <c r="G585" s="8"/>
      <c r="L585" s="172"/>
      <c r="Q585" s="128"/>
    </row>
    <row r="586">
      <c r="B586" s="8"/>
      <c r="C586" s="8"/>
      <c r="D586" s="8"/>
      <c r="E586" s="8"/>
      <c r="F586" s="129"/>
      <c r="G586" s="8"/>
      <c r="L586" s="172"/>
      <c r="Q586" s="128"/>
    </row>
    <row r="587">
      <c r="B587" s="8"/>
      <c r="C587" s="8"/>
      <c r="D587" s="8"/>
      <c r="E587" s="8"/>
      <c r="F587" s="129"/>
      <c r="G587" s="8"/>
      <c r="L587" s="172"/>
      <c r="Q587" s="128"/>
    </row>
    <row r="588">
      <c r="B588" s="8"/>
      <c r="C588" s="8"/>
      <c r="D588" s="8"/>
      <c r="E588" s="8"/>
      <c r="F588" s="129"/>
      <c r="G588" s="8"/>
      <c r="L588" s="172"/>
      <c r="Q588" s="128"/>
    </row>
    <row r="589">
      <c r="B589" s="8"/>
      <c r="C589" s="8"/>
      <c r="D589" s="8"/>
      <c r="E589" s="8"/>
      <c r="F589" s="129"/>
      <c r="G589" s="8"/>
      <c r="L589" s="172"/>
      <c r="Q589" s="128"/>
    </row>
    <row r="590">
      <c r="B590" s="8"/>
      <c r="C590" s="8"/>
      <c r="D590" s="8"/>
      <c r="E590" s="8"/>
      <c r="F590" s="129"/>
      <c r="G590" s="8"/>
      <c r="L590" s="172"/>
      <c r="Q590" s="128"/>
    </row>
    <row r="591">
      <c r="B591" s="8"/>
      <c r="C591" s="8"/>
      <c r="D591" s="8"/>
      <c r="E591" s="8"/>
      <c r="F591" s="129"/>
      <c r="G591" s="8"/>
      <c r="L591" s="172"/>
      <c r="Q591" s="128"/>
    </row>
    <row r="592">
      <c r="B592" s="8"/>
      <c r="C592" s="8"/>
      <c r="D592" s="8"/>
      <c r="E592" s="8"/>
      <c r="F592" s="129"/>
      <c r="G592" s="8"/>
      <c r="L592" s="172"/>
      <c r="Q592" s="128"/>
    </row>
    <row r="593">
      <c r="B593" s="8"/>
      <c r="C593" s="8"/>
      <c r="D593" s="8"/>
      <c r="E593" s="8"/>
      <c r="F593" s="129"/>
      <c r="G593" s="8"/>
      <c r="L593" s="172"/>
      <c r="Q593" s="128"/>
    </row>
    <row r="594">
      <c r="B594" s="8"/>
      <c r="C594" s="8"/>
      <c r="D594" s="8"/>
      <c r="E594" s="8"/>
      <c r="F594" s="129"/>
      <c r="G594" s="8"/>
      <c r="L594" s="172"/>
      <c r="Q594" s="128"/>
    </row>
    <row r="595">
      <c r="B595" s="8"/>
      <c r="C595" s="8"/>
      <c r="D595" s="8"/>
      <c r="E595" s="8"/>
      <c r="F595" s="129"/>
      <c r="G595" s="8"/>
      <c r="L595" s="172"/>
      <c r="Q595" s="128"/>
    </row>
    <row r="596">
      <c r="B596" s="8"/>
      <c r="C596" s="8"/>
      <c r="D596" s="8"/>
      <c r="E596" s="8"/>
      <c r="F596" s="129"/>
      <c r="G596" s="8"/>
      <c r="L596" s="172"/>
      <c r="Q596" s="128"/>
    </row>
    <row r="597">
      <c r="B597" s="8"/>
      <c r="C597" s="8"/>
      <c r="D597" s="8"/>
      <c r="E597" s="8"/>
      <c r="F597" s="129"/>
      <c r="G597" s="8"/>
      <c r="L597" s="172"/>
      <c r="Q597" s="128"/>
    </row>
    <row r="598">
      <c r="B598" s="8"/>
      <c r="C598" s="8"/>
      <c r="D598" s="8"/>
      <c r="E598" s="8"/>
      <c r="F598" s="129"/>
      <c r="G598" s="8"/>
      <c r="L598" s="172"/>
      <c r="Q598" s="128"/>
    </row>
    <row r="599">
      <c r="B599" s="8"/>
      <c r="C599" s="8"/>
      <c r="D599" s="8"/>
      <c r="E599" s="8"/>
      <c r="F599" s="129"/>
      <c r="G599" s="8"/>
      <c r="L599" s="172"/>
      <c r="Q599" s="128"/>
    </row>
    <row r="600">
      <c r="B600" s="8"/>
      <c r="C600" s="8"/>
      <c r="D600" s="8"/>
      <c r="E600" s="8"/>
      <c r="F600" s="129"/>
      <c r="G600" s="8"/>
      <c r="L600" s="172"/>
      <c r="Q600" s="128"/>
    </row>
    <row r="601">
      <c r="B601" s="8"/>
      <c r="C601" s="8"/>
      <c r="D601" s="8"/>
      <c r="E601" s="8"/>
      <c r="F601" s="129"/>
      <c r="G601" s="8"/>
      <c r="L601" s="172"/>
      <c r="Q601" s="128"/>
    </row>
    <row r="602">
      <c r="B602" s="8"/>
      <c r="C602" s="8"/>
      <c r="D602" s="8"/>
      <c r="E602" s="8"/>
      <c r="F602" s="129"/>
      <c r="G602" s="8"/>
      <c r="L602" s="172"/>
      <c r="Q602" s="128"/>
    </row>
    <row r="603">
      <c r="B603" s="8"/>
      <c r="C603" s="8"/>
      <c r="D603" s="8"/>
      <c r="E603" s="8"/>
      <c r="F603" s="129"/>
      <c r="G603" s="8"/>
      <c r="L603" s="172"/>
      <c r="Q603" s="128"/>
    </row>
    <row r="604">
      <c r="B604" s="8"/>
      <c r="C604" s="8"/>
      <c r="D604" s="8"/>
      <c r="E604" s="8"/>
      <c r="F604" s="129"/>
      <c r="G604" s="8"/>
      <c r="L604" s="172"/>
      <c r="Q604" s="128"/>
    </row>
    <row r="605">
      <c r="B605" s="8"/>
      <c r="C605" s="8"/>
      <c r="D605" s="8"/>
      <c r="E605" s="8"/>
      <c r="F605" s="129"/>
      <c r="G605" s="8"/>
      <c r="L605" s="172"/>
      <c r="Q605" s="128"/>
    </row>
    <row r="606">
      <c r="B606" s="8"/>
      <c r="C606" s="8"/>
      <c r="D606" s="8"/>
      <c r="E606" s="8"/>
      <c r="F606" s="129"/>
      <c r="G606" s="8"/>
      <c r="L606" s="172"/>
      <c r="Q606" s="128"/>
    </row>
    <row r="607">
      <c r="B607" s="8"/>
      <c r="C607" s="8"/>
      <c r="D607" s="8"/>
      <c r="E607" s="8"/>
      <c r="F607" s="129"/>
      <c r="G607" s="8"/>
      <c r="L607" s="172"/>
      <c r="Q607" s="128"/>
    </row>
    <row r="608">
      <c r="B608" s="8"/>
      <c r="C608" s="8"/>
      <c r="D608" s="8"/>
      <c r="E608" s="8"/>
      <c r="F608" s="129"/>
      <c r="G608" s="8"/>
      <c r="L608" s="172"/>
      <c r="Q608" s="128"/>
    </row>
    <row r="609">
      <c r="B609" s="8"/>
      <c r="C609" s="8"/>
      <c r="D609" s="8"/>
      <c r="E609" s="8"/>
      <c r="F609" s="129"/>
      <c r="G609" s="8"/>
      <c r="L609" s="172"/>
      <c r="Q609" s="128"/>
    </row>
    <row r="610">
      <c r="B610" s="8"/>
      <c r="C610" s="8"/>
      <c r="D610" s="8"/>
      <c r="E610" s="8"/>
      <c r="F610" s="129"/>
      <c r="G610" s="8"/>
      <c r="L610" s="172"/>
      <c r="Q610" s="128"/>
    </row>
    <row r="611">
      <c r="B611" s="8"/>
      <c r="C611" s="8"/>
      <c r="D611" s="8"/>
      <c r="E611" s="8"/>
      <c r="F611" s="129"/>
      <c r="G611" s="8"/>
      <c r="L611" s="172"/>
      <c r="Q611" s="128"/>
    </row>
    <row r="612">
      <c r="B612" s="8"/>
      <c r="C612" s="8"/>
      <c r="D612" s="8"/>
      <c r="E612" s="8"/>
      <c r="F612" s="129"/>
      <c r="G612" s="8"/>
      <c r="L612" s="172"/>
      <c r="Q612" s="128"/>
    </row>
    <row r="613">
      <c r="B613" s="8"/>
      <c r="C613" s="8"/>
      <c r="D613" s="8"/>
      <c r="E613" s="8"/>
      <c r="F613" s="129"/>
      <c r="G613" s="8"/>
      <c r="L613" s="172"/>
      <c r="Q613" s="128"/>
    </row>
    <row r="614">
      <c r="B614" s="8"/>
      <c r="C614" s="8"/>
      <c r="D614" s="8"/>
      <c r="E614" s="8"/>
      <c r="F614" s="129"/>
      <c r="G614" s="8"/>
      <c r="L614" s="172"/>
      <c r="Q614" s="128"/>
    </row>
    <row r="615">
      <c r="B615" s="8"/>
      <c r="C615" s="8"/>
      <c r="D615" s="8"/>
      <c r="E615" s="8"/>
      <c r="F615" s="129"/>
      <c r="G615" s="8"/>
      <c r="L615" s="172"/>
      <c r="Q615" s="128"/>
    </row>
    <row r="616">
      <c r="B616" s="8"/>
      <c r="C616" s="8"/>
      <c r="D616" s="8"/>
      <c r="E616" s="8"/>
      <c r="F616" s="129"/>
      <c r="G616" s="8"/>
      <c r="L616" s="172"/>
      <c r="Q616" s="128"/>
    </row>
    <row r="617">
      <c r="B617" s="8"/>
      <c r="C617" s="8"/>
      <c r="D617" s="8"/>
      <c r="E617" s="8"/>
      <c r="F617" s="129"/>
      <c r="G617" s="8"/>
      <c r="L617" s="172"/>
      <c r="Q617" s="128"/>
    </row>
    <row r="618">
      <c r="B618" s="8"/>
      <c r="C618" s="8"/>
      <c r="D618" s="8"/>
      <c r="E618" s="8"/>
      <c r="F618" s="129"/>
      <c r="G618" s="8"/>
      <c r="L618" s="172"/>
      <c r="Q618" s="128"/>
    </row>
    <row r="619">
      <c r="B619" s="8"/>
      <c r="C619" s="8"/>
      <c r="D619" s="8"/>
      <c r="E619" s="8"/>
      <c r="F619" s="129"/>
      <c r="G619" s="8"/>
      <c r="L619" s="172"/>
      <c r="Q619" s="128"/>
    </row>
    <row r="620">
      <c r="B620" s="8"/>
      <c r="C620" s="8"/>
      <c r="D620" s="8"/>
      <c r="E620" s="8"/>
      <c r="F620" s="129"/>
      <c r="G620" s="8"/>
      <c r="L620" s="172"/>
      <c r="Q620" s="128"/>
    </row>
    <row r="621">
      <c r="B621" s="8"/>
      <c r="C621" s="8"/>
      <c r="D621" s="8"/>
      <c r="E621" s="8"/>
      <c r="F621" s="129"/>
      <c r="G621" s="8"/>
      <c r="L621" s="172"/>
      <c r="Q621" s="128"/>
    </row>
    <row r="622">
      <c r="B622" s="8"/>
      <c r="C622" s="8"/>
      <c r="D622" s="8"/>
      <c r="E622" s="8"/>
      <c r="F622" s="129"/>
      <c r="G622" s="8"/>
      <c r="L622" s="172"/>
      <c r="Q622" s="128"/>
    </row>
    <row r="623">
      <c r="B623" s="8"/>
      <c r="C623" s="8"/>
      <c r="D623" s="8"/>
      <c r="E623" s="8"/>
      <c r="F623" s="129"/>
      <c r="G623" s="8"/>
      <c r="L623" s="172"/>
      <c r="Q623" s="128"/>
    </row>
    <row r="624">
      <c r="B624" s="8"/>
      <c r="C624" s="8"/>
      <c r="D624" s="8"/>
      <c r="E624" s="8"/>
      <c r="F624" s="129"/>
      <c r="G624" s="8"/>
      <c r="L624" s="172"/>
      <c r="Q624" s="128"/>
    </row>
    <row r="625">
      <c r="B625" s="8"/>
      <c r="C625" s="8"/>
      <c r="D625" s="8"/>
      <c r="E625" s="8"/>
      <c r="F625" s="129"/>
      <c r="G625" s="8"/>
      <c r="L625" s="172"/>
      <c r="Q625" s="128"/>
    </row>
    <row r="626">
      <c r="B626" s="8"/>
      <c r="C626" s="8"/>
      <c r="D626" s="8"/>
      <c r="E626" s="8"/>
      <c r="F626" s="129"/>
      <c r="G626" s="8"/>
      <c r="L626" s="172"/>
      <c r="Q626" s="128"/>
    </row>
    <row r="627">
      <c r="B627" s="8"/>
      <c r="C627" s="8"/>
      <c r="D627" s="8"/>
      <c r="E627" s="8"/>
      <c r="F627" s="129"/>
      <c r="G627" s="8"/>
      <c r="L627" s="172"/>
      <c r="Q627" s="128"/>
    </row>
    <row r="628">
      <c r="B628" s="8"/>
      <c r="C628" s="8"/>
      <c r="D628" s="8"/>
      <c r="E628" s="8"/>
      <c r="F628" s="129"/>
      <c r="G628" s="8"/>
      <c r="L628" s="172"/>
      <c r="Q628" s="128"/>
    </row>
    <row r="629">
      <c r="B629" s="8"/>
      <c r="C629" s="8"/>
      <c r="D629" s="8"/>
      <c r="E629" s="8"/>
      <c r="F629" s="129"/>
      <c r="G629" s="8"/>
      <c r="L629" s="172"/>
      <c r="Q629" s="128"/>
    </row>
    <row r="630">
      <c r="B630" s="8"/>
      <c r="C630" s="8"/>
      <c r="D630" s="8"/>
      <c r="E630" s="8"/>
      <c r="F630" s="129"/>
      <c r="G630" s="8"/>
      <c r="L630" s="172"/>
      <c r="Q630" s="128"/>
    </row>
    <row r="631">
      <c r="B631" s="8"/>
      <c r="C631" s="8"/>
      <c r="D631" s="8"/>
      <c r="E631" s="8"/>
      <c r="F631" s="129"/>
      <c r="G631" s="8"/>
      <c r="L631" s="172"/>
      <c r="Q631" s="128"/>
    </row>
    <row r="632">
      <c r="B632" s="8"/>
      <c r="C632" s="8"/>
      <c r="D632" s="8"/>
      <c r="E632" s="8"/>
      <c r="F632" s="129"/>
      <c r="G632" s="8"/>
      <c r="L632" s="172"/>
      <c r="Q632" s="128"/>
    </row>
    <row r="633">
      <c r="B633" s="8"/>
      <c r="C633" s="8"/>
      <c r="D633" s="8"/>
      <c r="E633" s="8"/>
      <c r="F633" s="129"/>
      <c r="G633" s="8"/>
      <c r="L633" s="172"/>
      <c r="Q633" s="128"/>
    </row>
    <row r="634">
      <c r="B634" s="8"/>
      <c r="C634" s="8"/>
      <c r="D634" s="8"/>
      <c r="E634" s="8"/>
      <c r="F634" s="129"/>
      <c r="G634" s="8"/>
      <c r="L634" s="172"/>
      <c r="Q634" s="128"/>
    </row>
    <row r="635">
      <c r="B635" s="8"/>
      <c r="C635" s="8"/>
      <c r="D635" s="8"/>
      <c r="E635" s="8"/>
      <c r="F635" s="129"/>
      <c r="G635" s="8"/>
      <c r="L635" s="172"/>
      <c r="Q635" s="128"/>
    </row>
    <row r="636">
      <c r="B636" s="8"/>
      <c r="C636" s="8"/>
      <c r="D636" s="8"/>
      <c r="E636" s="8"/>
      <c r="F636" s="129"/>
      <c r="G636" s="8"/>
      <c r="L636" s="172"/>
      <c r="Q636" s="128"/>
    </row>
    <row r="637">
      <c r="B637" s="8"/>
      <c r="C637" s="8"/>
      <c r="D637" s="8"/>
      <c r="E637" s="8"/>
      <c r="F637" s="129"/>
      <c r="G637" s="8"/>
      <c r="L637" s="172"/>
      <c r="Q637" s="128"/>
    </row>
    <row r="638">
      <c r="B638" s="8"/>
      <c r="C638" s="8"/>
      <c r="D638" s="8"/>
      <c r="E638" s="8"/>
      <c r="F638" s="129"/>
      <c r="G638" s="8"/>
      <c r="L638" s="172"/>
      <c r="Q638" s="128"/>
    </row>
    <row r="639">
      <c r="B639" s="8"/>
      <c r="C639" s="8"/>
      <c r="D639" s="8"/>
      <c r="E639" s="8"/>
      <c r="F639" s="129"/>
      <c r="G639" s="8"/>
      <c r="L639" s="172"/>
      <c r="Q639" s="128"/>
    </row>
    <row r="640">
      <c r="B640" s="8"/>
      <c r="C640" s="8"/>
      <c r="D640" s="8"/>
      <c r="E640" s="8"/>
      <c r="F640" s="129"/>
      <c r="G640" s="8"/>
      <c r="L640" s="172"/>
      <c r="Q640" s="128"/>
    </row>
    <row r="641">
      <c r="B641" s="8"/>
      <c r="C641" s="8"/>
      <c r="D641" s="8"/>
      <c r="E641" s="8"/>
      <c r="F641" s="129"/>
      <c r="G641" s="8"/>
      <c r="L641" s="172"/>
      <c r="Q641" s="128"/>
    </row>
    <row r="642">
      <c r="B642" s="8"/>
      <c r="C642" s="8"/>
      <c r="D642" s="8"/>
      <c r="E642" s="8"/>
      <c r="F642" s="129"/>
      <c r="G642" s="8"/>
      <c r="L642" s="172"/>
      <c r="Q642" s="128"/>
    </row>
    <row r="643">
      <c r="B643" s="8"/>
      <c r="C643" s="8"/>
      <c r="D643" s="8"/>
      <c r="E643" s="8"/>
      <c r="F643" s="129"/>
      <c r="G643" s="8"/>
      <c r="L643" s="172"/>
      <c r="Q643" s="128"/>
    </row>
    <row r="644">
      <c r="B644" s="8"/>
      <c r="C644" s="8"/>
      <c r="D644" s="8"/>
      <c r="E644" s="8"/>
      <c r="F644" s="129"/>
      <c r="G644" s="8"/>
      <c r="L644" s="172"/>
      <c r="Q644" s="128"/>
    </row>
    <row r="645">
      <c r="B645" s="8"/>
      <c r="C645" s="8"/>
      <c r="D645" s="8"/>
      <c r="E645" s="8"/>
      <c r="F645" s="129"/>
      <c r="G645" s="8"/>
      <c r="L645" s="172"/>
      <c r="Q645" s="128"/>
    </row>
    <row r="646">
      <c r="B646" s="8"/>
      <c r="C646" s="8"/>
      <c r="D646" s="8"/>
      <c r="E646" s="8"/>
      <c r="F646" s="129"/>
      <c r="G646" s="8"/>
      <c r="L646" s="172"/>
      <c r="Q646" s="128"/>
    </row>
    <row r="647">
      <c r="B647" s="8"/>
      <c r="C647" s="8"/>
      <c r="D647" s="8"/>
      <c r="E647" s="8"/>
      <c r="F647" s="129"/>
      <c r="G647" s="8"/>
      <c r="L647" s="172"/>
      <c r="Q647" s="128"/>
    </row>
    <row r="648">
      <c r="B648" s="8"/>
      <c r="C648" s="8"/>
      <c r="D648" s="8"/>
      <c r="E648" s="8"/>
      <c r="F648" s="129"/>
      <c r="G648" s="8"/>
      <c r="L648" s="172"/>
      <c r="Q648" s="128"/>
    </row>
    <row r="649">
      <c r="B649" s="8"/>
      <c r="C649" s="8"/>
      <c r="D649" s="8"/>
      <c r="E649" s="8"/>
      <c r="F649" s="129"/>
      <c r="G649" s="8"/>
      <c r="L649" s="172"/>
      <c r="Q649" s="128"/>
    </row>
    <row r="650">
      <c r="B650" s="8"/>
      <c r="C650" s="8"/>
      <c r="D650" s="8"/>
      <c r="E650" s="8"/>
      <c r="F650" s="129"/>
      <c r="G650" s="8"/>
      <c r="L650" s="172"/>
      <c r="Q650" s="128"/>
    </row>
    <row r="651">
      <c r="B651" s="8"/>
      <c r="C651" s="8"/>
      <c r="D651" s="8"/>
      <c r="E651" s="8"/>
      <c r="F651" s="129"/>
      <c r="G651" s="8"/>
      <c r="L651" s="172"/>
      <c r="Q651" s="128"/>
    </row>
    <row r="652">
      <c r="B652" s="8"/>
      <c r="C652" s="8"/>
      <c r="D652" s="8"/>
      <c r="E652" s="8"/>
      <c r="F652" s="129"/>
      <c r="G652" s="8"/>
      <c r="L652" s="172"/>
      <c r="Q652" s="128"/>
    </row>
    <row r="653">
      <c r="B653" s="8"/>
      <c r="C653" s="8"/>
      <c r="D653" s="8"/>
      <c r="E653" s="8"/>
      <c r="F653" s="129"/>
      <c r="G653" s="8"/>
      <c r="L653" s="172"/>
      <c r="Q653" s="128"/>
    </row>
    <row r="654">
      <c r="B654" s="8"/>
      <c r="C654" s="8"/>
      <c r="D654" s="8"/>
      <c r="E654" s="8"/>
      <c r="F654" s="129"/>
      <c r="G654" s="8"/>
      <c r="L654" s="172"/>
      <c r="Q654" s="128"/>
    </row>
    <row r="655">
      <c r="B655" s="8"/>
      <c r="C655" s="8"/>
      <c r="D655" s="8"/>
      <c r="E655" s="8"/>
      <c r="F655" s="129"/>
      <c r="G655" s="8"/>
      <c r="L655" s="172"/>
      <c r="Q655" s="128"/>
    </row>
    <row r="656">
      <c r="B656" s="8"/>
      <c r="C656" s="8"/>
      <c r="D656" s="8"/>
      <c r="E656" s="8"/>
      <c r="F656" s="129"/>
      <c r="G656" s="8"/>
      <c r="L656" s="172"/>
      <c r="Q656" s="128"/>
    </row>
    <row r="657">
      <c r="B657" s="8"/>
      <c r="C657" s="8"/>
      <c r="D657" s="8"/>
      <c r="E657" s="8"/>
      <c r="F657" s="129"/>
      <c r="G657" s="8"/>
      <c r="L657" s="172"/>
      <c r="Q657" s="128"/>
    </row>
    <row r="658">
      <c r="B658" s="8"/>
      <c r="C658" s="8"/>
      <c r="D658" s="8"/>
      <c r="E658" s="8"/>
      <c r="F658" s="129"/>
      <c r="G658" s="8"/>
      <c r="L658" s="172"/>
      <c r="Q658" s="128"/>
    </row>
    <row r="659">
      <c r="B659" s="8"/>
      <c r="C659" s="8"/>
      <c r="D659" s="8"/>
      <c r="E659" s="8"/>
      <c r="F659" s="129"/>
      <c r="G659" s="8"/>
      <c r="L659" s="172"/>
      <c r="Q659" s="128"/>
    </row>
    <row r="660">
      <c r="B660" s="8"/>
      <c r="C660" s="8"/>
      <c r="D660" s="8"/>
      <c r="E660" s="8"/>
      <c r="F660" s="129"/>
      <c r="G660" s="8"/>
      <c r="L660" s="172"/>
      <c r="Q660" s="128"/>
    </row>
    <row r="661">
      <c r="B661" s="8"/>
      <c r="C661" s="8"/>
      <c r="D661" s="8"/>
      <c r="E661" s="8"/>
      <c r="F661" s="129"/>
      <c r="G661" s="8"/>
      <c r="L661" s="172"/>
      <c r="Q661" s="128"/>
    </row>
    <row r="662">
      <c r="B662" s="8"/>
      <c r="C662" s="8"/>
      <c r="D662" s="8"/>
      <c r="E662" s="8"/>
      <c r="F662" s="129"/>
      <c r="G662" s="8"/>
      <c r="L662" s="172"/>
      <c r="Q662" s="128"/>
    </row>
    <row r="663">
      <c r="B663" s="8"/>
      <c r="C663" s="8"/>
      <c r="D663" s="8"/>
      <c r="E663" s="8"/>
      <c r="F663" s="129"/>
      <c r="G663" s="8"/>
      <c r="L663" s="172"/>
      <c r="Q663" s="128"/>
    </row>
    <row r="664">
      <c r="B664" s="8"/>
      <c r="C664" s="8"/>
      <c r="D664" s="8"/>
      <c r="E664" s="8"/>
      <c r="F664" s="129"/>
      <c r="G664" s="8"/>
      <c r="L664" s="172"/>
      <c r="Q664" s="128"/>
    </row>
    <row r="665">
      <c r="B665" s="8"/>
      <c r="C665" s="8"/>
      <c r="D665" s="8"/>
      <c r="E665" s="8"/>
      <c r="F665" s="129"/>
      <c r="G665" s="8"/>
      <c r="L665" s="172"/>
      <c r="Q665" s="128"/>
    </row>
    <row r="666">
      <c r="B666" s="8"/>
      <c r="C666" s="8"/>
      <c r="D666" s="8"/>
      <c r="E666" s="8"/>
      <c r="F666" s="129"/>
      <c r="G666" s="8"/>
      <c r="L666" s="172"/>
      <c r="Q666" s="128"/>
    </row>
    <row r="667">
      <c r="B667" s="8"/>
      <c r="C667" s="8"/>
      <c r="D667" s="8"/>
      <c r="E667" s="8"/>
      <c r="F667" s="129"/>
      <c r="G667" s="8"/>
      <c r="L667" s="172"/>
      <c r="Q667" s="128"/>
    </row>
    <row r="668">
      <c r="B668" s="8"/>
      <c r="C668" s="8"/>
      <c r="D668" s="8"/>
      <c r="E668" s="8"/>
      <c r="F668" s="129"/>
      <c r="G668" s="8"/>
      <c r="L668" s="172"/>
      <c r="Q668" s="128"/>
    </row>
    <row r="669">
      <c r="B669" s="8"/>
      <c r="C669" s="8"/>
      <c r="D669" s="8"/>
      <c r="E669" s="8"/>
      <c r="F669" s="129"/>
      <c r="G669" s="8"/>
      <c r="L669" s="172"/>
      <c r="Q669" s="128"/>
    </row>
    <row r="670">
      <c r="B670" s="8"/>
      <c r="C670" s="8"/>
      <c r="D670" s="8"/>
      <c r="E670" s="8"/>
      <c r="F670" s="129"/>
      <c r="G670" s="8"/>
      <c r="L670" s="172"/>
      <c r="Q670" s="128"/>
    </row>
    <row r="671">
      <c r="B671" s="8"/>
      <c r="C671" s="8"/>
      <c r="D671" s="8"/>
      <c r="E671" s="8"/>
      <c r="F671" s="129"/>
      <c r="G671" s="8"/>
      <c r="L671" s="172"/>
      <c r="Q671" s="128"/>
    </row>
    <row r="672">
      <c r="B672" s="8"/>
      <c r="C672" s="8"/>
      <c r="D672" s="8"/>
      <c r="E672" s="8"/>
      <c r="F672" s="129"/>
      <c r="G672" s="8"/>
      <c r="L672" s="172"/>
      <c r="Q672" s="128"/>
    </row>
    <row r="673">
      <c r="B673" s="8"/>
      <c r="C673" s="8"/>
      <c r="D673" s="8"/>
      <c r="E673" s="8"/>
      <c r="F673" s="129"/>
      <c r="G673" s="8"/>
      <c r="L673" s="172"/>
      <c r="Q673" s="128"/>
    </row>
    <row r="674">
      <c r="B674" s="8"/>
      <c r="C674" s="8"/>
      <c r="D674" s="8"/>
      <c r="E674" s="8"/>
      <c r="F674" s="129"/>
      <c r="G674" s="8"/>
      <c r="L674" s="172"/>
      <c r="Q674" s="128"/>
    </row>
    <row r="675">
      <c r="B675" s="8"/>
      <c r="C675" s="8"/>
      <c r="D675" s="8"/>
      <c r="E675" s="8"/>
      <c r="F675" s="129"/>
      <c r="G675" s="8"/>
      <c r="L675" s="172"/>
      <c r="Q675" s="128"/>
    </row>
    <row r="676">
      <c r="B676" s="8"/>
      <c r="C676" s="8"/>
      <c r="D676" s="8"/>
      <c r="E676" s="8"/>
      <c r="F676" s="129"/>
      <c r="G676" s="8"/>
      <c r="L676" s="172"/>
      <c r="Q676" s="128"/>
    </row>
    <row r="677">
      <c r="B677" s="8"/>
      <c r="C677" s="8"/>
      <c r="D677" s="8"/>
      <c r="E677" s="8"/>
      <c r="F677" s="129"/>
      <c r="G677" s="8"/>
      <c r="L677" s="172"/>
      <c r="Q677" s="128"/>
    </row>
    <row r="678">
      <c r="B678" s="8"/>
      <c r="C678" s="8"/>
      <c r="D678" s="8"/>
      <c r="E678" s="8"/>
      <c r="F678" s="129"/>
      <c r="G678" s="8"/>
      <c r="L678" s="172"/>
      <c r="Q678" s="128"/>
    </row>
    <row r="679">
      <c r="B679" s="8"/>
      <c r="C679" s="8"/>
      <c r="D679" s="8"/>
      <c r="E679" s="8"/>
      <c r="F679" s="129"/>
      <c r="G679" s="8"/>
      <c r="L679" s="172"/>
      <c r="Q679" s="128"/>
    </row>
    <row r="680">
      <c r="B680" s="8"/>
      <c r="C680" s="8"/>
      <c r="D680" s="8"/>
      <c r="E680" s="8"/>
      <c r="F680" s="129"/>
      <c r="G680" s="8"/>
      <c r="L680" s="172"/>
      <c r="Q680" s="128"/>
    </row>
    <row r="681">
      <c r="B681" s="8"/>
      <c r="C681" s="8"/>
      <c r="D681" s="8"/>
      <c r="E681" s="8"/>
      <c r="F681" s="129"/>
      <c r="G681" s="8"/>
      <c r="L681" s="172"/>
      <c r="Q681" s="128"/>
    </row>
    <row r="682">
      <c r="B682" s="8"/>
      <c r="C682" s="8"/>
      <c r="D682" s="8"/>
      <c r="E682" s="8"/>
      <c r="F682" s="129"/>
      <c r="G682" s="8"/>
      <c r="L682" s="172"/>
      <c r="Q682" s="128"/>
    </row>
    <row r="683">
      <c r="B683" s="8"/>
      <c r="C683" s="8"/>
      <c r="D683" s="8"/>
      <c r="E683" s="8"/>
      <c r="F683" s="129"/>
      <c r="G683" s="8"/>
      <c r="L683" s="172"/>
      <c r="Q683" s="128"/>
    </row>
    <row r="684">
      <c r="B684" s="8"/>
      <c r="C684" s="8"/>
      <c r="D684" s="8"/>
      <c r="E684" s="8"/>
      <c r="F684" s="129"/>
      <c r="G684" s="8"/>
      <c r="L684" s="172"/>
      <c r="Q684" s="128"/>
    </row>
    <row r="685">
      <c r="B685" s="8"/>
      <c r="C685" s="8"/>
      <c r="D685" s="8"/>
      <c r="E685" s="8"/>
      <c r="F685" s="129"/>
      <c r="G685" s="8"/>
      <c r="L685" s="172"/>
      <c r="Q685" s="128"/>
    </row>
    <row r="686">
      <c r="B686" s="8"/>
      <c r="C686" s="8"/>
      <c r="D686" s="8"/>
      <c r="E686" s="8"/>
      <c r="F686" s="129"/>
      <c r="G686" s="8"/>
      <c r="L686" s="172"/>
      <c r="Q686" s="128"/>
    </row>
    <row r="687">
      <c r="B687" s="8"/>
      <c r="C687" s="8"/>
      <c r="D687" s="8"/>
      <c r="E687" s="8"/>
      <c r="F687" s="129"/>
      <c r="G687" s="8"/>
      <c r="L687" s="172"/>
      <c r="Q687" s="128"/>
    </row>
    <row r="688">
      <c r="B688" s="8"/>
      <c r="C688" s="8"/>
      <c r="D688" s="8"/>
      <c r="E688" s="8"/>
      <c r="F688" s="129"/>
      <c r="G688" s="8"/>
      <c r="L688" s="172"/>
      <c r="Q688" s="128"/>
    </row>
    <row r="689">
      <c r="B689" s="8"/>
      <c r="C689" s="8"/>
      <c r="D689" s="8"/>
      <c r="E689" s="8"/>
      <c r="F689" s="129"/>
      <c r="G689" s="8"/>
      <c r="L689" s="172"/>
      <c r="Q689" s="128"/>
    </row>
    <row r="690">
      <c r="B690" s="8"/>
      <c r="C690" s="8"/>
      <c r="D690" s="8"/>
      <c r="E690" s="8"/>
      <c r="F690" s="129"/>
      <c r="G690" s="8"/>
      <c r="L690" s="172"/>
      <c r="Q690" s="128"/>
    </row>
    <row r="691">
      <c r="B691" s="8"/>
      <c r="C691" s="8"/>
      <c r="D691" s="8"/>
      <c r="E691" s="8"/>
      <c r="F691" s="129"/>
      <c r="G691" s="8"/>
      <c r="L691" s="172"/>
      <c r="Q691" s="128"/>
    </row>
    <row r="692">
      <c r="B692" s="8"/>
      <c r="C692" s="8"/>
      <c r="D692" s="8"/>
      <c r="E692" s="8"/>
      <c r="F692" s="129"/>
      <c r="G692" s="8"/>
      <c r="L692" s="172"/>
      <c r="Q692" s="128"/>
    </row>
    <row r="693">
      <c r="B693" s="8"/>
      <c r="C693" s="8"/>
      <c r="D693" s="8"/>
      <c r="E693" s="8"/>
      <c r="F693" s="129"/>
      <c r="G693" s="8"/>
      <c r="L693" s="172"/>
      <c r="Q693" s="128"/>
    </row>
    <row r="694">
      <c r="B694" s="8"/>
      <c r="C694" s="8"/>
      <c r="D694" s="8"/>
      <c r="E694" s="8"/>
      <c r="F694" s="129"/>
      <c r="G694" s="8"/>
      <c r="L694" s="172"/>
      <c r="Q694" s="128"/>
    </row>
    <row r="695">
      <c r="B695" s="8"/>
      <c r="C695" s="8"/>
      <c r="D695" s="8"/>
      <c r="E695" s="8"/>
      <c r="F695" s="129"/>
      <c r="G695" s="8"/>
      <c r="L695" s="172"/>
      <c r="Q695" s="128"/>
    </row>
    <row r="696">
      <c r="B696" s="8"/>
      <c r="C696" s="8"/>
      <c r="D696" s="8"/>
      <c r="E696" s="8"/>
      <c r="F696" s="129"/>
      <c r="G696" s="8"/>
      <c r="L696" s="172"/>
      <c r="Q696" s="128"/>
    </row>
    <row r="697">
      <c r="B697" s="8"/>
      <c r="C697" s="8"/>
      <c r="D697" s="8"/>
      <c r="E697" s="8"/>
      <c r="F697" s="129"/>
      <c r="G697" s="8"/>
      <c r="L697" s="172"/>
      <c r="Q697" s="128"/>
    </row>
    <row r="698">
      <c r="B698" s="8"/>
      <c r="C698" s="8"/>
      <c r="D698" s="8"/>
      <c r="E698" s="8"/>
      <c r="F698" s="129"/>
      <c r="G698" s="8"/>
      <c r="L698" s="172"/>
      <c r="Q698" s="128"/>
    </row>
    <row r="699">
      <c r="B699" s="8"/>
      <c r="C699" s="8"/>
      <c r="D699" s="8"/>
      <c r="E699" s="8"/>
      <c r="F699" s="129"/>
      <c r="G699" s="8"/>
      <c r="L699" s="172"/>
      <c r="Q699" s="128"/>
    </row>
    <row r="700">
      <c r="B700" s="8"/>
      <c r="C700" s="8"/>
      <c r="D700" s="8"/>
      <c r="E700" s="8"/>
      <c r="F700" s="129"/>
      <c r="G700" s="8"/>
      <c r="L700" s="172"/>
      <c r="Q700" s="128"/>
    </row>
    <row r="701">
      <c r="B701" s="8"/>
      <c r="C701" s="8"/>
      <c r="D701" s="8"/>
      <c r="E701" s="8"/>
      <c r="F701" s="129"/>
      <c r="G701" s="8"/>
      <c r="L701" s="172"/>
      <c r="Q701" s="128"/>
    </row>
    <row r="702">
      <c r="B702" s="8"/>
      <c r="C702" s="8"/>
      <c r="D702" s="8"/>
      <c r="E702" s="8"/>
      <c r="F702" s="129"/>
      <c r="G702" s="8"/>
      <c r="L702" s="172"/>
      <c r="Q702" s="128"/>
    </row>
    <row r="703">
      <c r="B703" s="8"/>
      <c r="C703" s="8"/>
      <c r="D703" s="8"/>
      <c r="E703" s="8"/>
      <c r="F703" s="129"/>
      <c r="G703" s="8"/>
      <c r="L703" s="172"/>
      <c r="Q703" s="128"/>
    </row>
    <row r="704">
      <c r="B704" s="8"/>
      <c r="C704" s="8"/>
      <c r="D704" s="8"/>
      <c r="E704" s="8"/>
      <c r="F704" s="129"/>
      <c r="G704" s="8"/>
      <c r="L704" s="172"/>
      <c r="Q704" s="128"/>
    </row>
    <row r="705">
      <c r="B705" s="8"/>
      <c r="C705" s="8"/>
      <c r="D705" s="8"/>
      <c r="E705" s="8"/>
      <c r="F705" s="129"/>
      <c r="G705" s="8"/>
      <c r="L705" s="172"/>
      <c r="Q705" s="128"/>
    </row>
    <row r="706">
      <c r="B706" s="8"/>
      <c r="C706" s="8"/>
      <c r="D706" s="8"/>
      <c r="E706" s="8"/>
      <c r="F706" s="129"/>
      <c r="G706" s="8"/>
      <c r="L706" s="172"/>
      <c r="Q706" s="128"/>
    </row>
    <row r="707">
      <c r="B707" s="8"/>
      <c r="C707" s="8"/>
      <c r="D707" s="8"/>
      <c r="E707" s="8"/>
      <c r="F707" s="129"/>
      <c r="G707" s="8"/>
      <c r="L707" s="172"/>
      <c r="Q707" s="128"/>
    </row>
    <row r="708">
      <c r="B708" s="8"/>
      <c r="C708" s="8"/>
      <c r="D708" s="8"/>
      <c r="E708" s="8"/>
      <c r="F708" s="129"/>
      <c r="G708" s="8"/>
      <c r="L708" s="172"/>
      <c r="Q708" s="128"/>
    </row>
    <row r="709">
      <c r="B709" s="8"/>
      <c r="C709" s="8"/>
      <c r="D709" s="8"/>
      <c r="E709" s="8"/>
      <c r="F709" s="129"/>
      <c r="G709" s="8"/>
      <c r="L709" s="172"/>
      <c r="Q709" s="128"/>
    </row>
    <row r="710">
      <c r="B710" s="8"/>
      <c r="C710" s="8"/>
      <c r="D710" s="8"/>
      <c r="E710" s="8"/>
      <c r="F710" s="129"/>
      <c r="G710" s="8"/>
      <c r="L710" s="172"/>
      <c r="Q710" s="128"/>
    </row>
    <row r="711">
      <c r="B711" s="8"/>
      <c r="C711" s="8"/>
      <c r="D711" s="8"/>
      <c r="E711" s="8"/>
      <c r="F711" s="129"/>
      <c r="G711" s="8"/>
      <c r="L711" s="172"/>
      <c r="Q711" s="128"/>
    </row>
    <row r="712">
      <c r="B712" s="8"/>
      <c r="C712" s="8"/>
      <c r="D712" s="8"/>
      <c r="E712" s="8"/>
      <c r="F712" s="129"/>
      <c r="G712" s="8"/>
      <c r="L712" s="172"/>
      <c r="Q712" s="128"/>
    </row>
    <row r="713">
      <c r="B713" s="8"/>
      <c r="C713" s="8"/>
      <c r="D713" s="8"/>
      <c r="E713" s="8"/>
      <c r="F713" s="129"/>
      <c r="G713" s="8"/>
      <c r="L713" s="172"/>
      <c r="Q713" s="128"/>
    </row>
    <row r="714">
      <c r="B714" s="8"/>
      <c r="C714" s="8"/>
      <c r="D714" s="8"/>
      <c r="E714" s="8"/>
      <c r="F714" s="129"/>
      <c r="G714" s="8"/>
      <c r="L714" s="172"/>
      <c r="Q714" s="128"/>
    </row>
    <row r="715">
      <c r="B715" s="8"/>
      <c r="C715" s="8"/>
      <c r="D715" s="8"/>
      <c r="E715" s="8"/>
      <c r="F715" s="129"/>
      <c r="G715" s="8"/>
      <c r="L715" s="172"/>
      <c r="Q715" s="128"/>
    </row>
    <row r="716">
      <c r="B716" s="8"/>
      <c r="C716" s="8"/>
      <c r="D716" s="8"/>
      <c r="E716" s="8"/>
      <c r="F716" s="129"/>
      <c r="G716" s="8"/>
      <c r="L716" s="172"/>
      <c r="Q716" s="128"/>
    </row>
    <row r="717">
      <c r="B717" s="8"/>
      <c r="C717" s="8"/>
      <c r="D717" s="8"/>
      <c r="E717" s="8"/>
      <c r="F717" s="129"/>
      <c r="G717" s="8"/>
      <c r="L717" s="172"/>
      <c r="Q717" s="128"/>
    </row>
    <row r="718">
      <c r="B718" s="8"/>
      <c r="C718" s="8"/>
      <c r="D718" s="8"/>
      <c r="E718" s="8"/>
      <c r="F718" s="129"/>
      <c r="G718" s="8"/>
      <c r="L718" s="172"/>
      <c r="Q718" s="128"/>
    </row>
    <row r="719">
      <c r="B719" s="8"/>
      <c r="C719" s="8"/>
      <c r="D719" s="8"/>
      <c r="E719" s="8"/>
      <c r="F719" s="129"/>
      <c r="G719" s="8"/>
      <c r="L719" s="172"/>
      <c r="Q719" s="128"/>
    </row>
    <row r="720">
      <c r="B720" s="8"/>
      <c r="C720" s="8"/>
      <c r="D720" s="8"/>
      <c r="E720" s="8"/>
      <c r="F720" s="129"/>
      <c r="G720" s="8"/>
      <c r="L720" s="172"/>
      <c r="Q720" s="128"/>
    </row>
    <row r="721">
      <c r="B721" s="8"/>
      <c r="C721" s="8"/>
      <c r="D721" s="8"/>
      <c r="E721" s="8"/>
      <c r="F721" s="129"/>
      <c r="G721" s="8"/>
      <c r="L721" s="172"/>
      <c r="Q721" s="128"/>
    </row>
    <row r="722">
      <c r="B722" s="8"/>
      <c r="C722" s="8"/>
      <c r="D722" s="8"/>
      <c r="E722" s="8"/>
      <c r="F722" s="129"/>
      <c r="G722" s="8"/>
      <c r="L722" s="172"/>
      <c r="Q722" s="128"/>
    </row>
    <row r="723">
      <c r="B723" s="8"/>
      <c r="C723" s="8"/>
      <c r="D723" s="8"/>
      <c r="E723" s="8"/>
      <c r="F723" s="129"/>
      <c r="G723" s="8"/>
      <c r="L723" s="172"/>
      <c r="Q723" s="128"/>
    </row>
    <row r="724">
      <c r="B724" s="8"/>
      <c r="C724" s="8"/>
      <c r="D724" s="8"/>
      <c r="E724" s="8"/>
      <c r="F724" s="129"/>
      <c r="G724" s="8"/>
      <c r="L724" s="172"/>
      <c r="Q724" s="128"/>
    </row>
    <row r="725">
      <c r="B725" s="8"/>
      <c r="C725" s="8"/>
      <c r="D725" s="8"/>
      <c r="E725" s="8"/>
      <c r="F725" s="129"/>
      <c r="G725" s="8"/>
      <c r="L725" s="172"/>
      <c r="Q725" s="128"/>
    </row>
    <row r="726">
      <c r="B726" s="8"/>
      <c r="C726" s="8"/>
      <c r="D726" s="8"/>
      <c r="E726" s="8"/>
      <c r="F726" s="129"/>
      <c r="G726" s="8"/>
      <c r="L726" s="172"/>
      <c r="Q726" s="128"/>
    </row>
    <row r="727">
      <c r="B727" s="8"/>
      <c r="C727" s="8"/>
      <c r="D727" s="8"/>
      <c r="E727" s="8"/>
      <c r="F727" s="129"/>
      <c r="G727" s="8"/>
      <c r="L727" s="172"/>
      <c r="Q727" s="128"/>
    </row>
    <row r="728">
      <c r="B728" s="8"/>
      <c r="C728" s="8"/>
      <c r="D728" s="8"/>
      <c r="E728" s="8"/>
      <c r="F728" s="129"/>
      <c r="G728" s="8"/>
      <c r="L728" s="172"/>
      <c r="Q728" s="128"/>
    </row>
    <row r="729">
      <c r="B729" s="8"/>
      <c r="C729" s="8"/>
      <c r="D729" s="8"/>
      <c r="E729" s="8"/>
      <c r="F729" s="129"/>
      <c r="G729" s="8"/>
      <c r="L729" s="172"/>
      <c r="Q729" s="128"/>
    </row>
    <row r="730">
      <c r="B730" s="8"/>
      <c r="C730" s="8"/>
      <c r="D730" s="8"/>
      <c r="E730" s="8"/>
      <c r="F730" s="129"/>
      <c r="G730" s="8"/>
      <c r="L730" s="172"/>
      <c r="Q730" s="128"/>
    </row>
    <row r="731">
      <c r="B731" s="8"/>
      <c r="C731" s="8"/>
      <c r="D731" s="8"/>
      <c r="E731" s="8"/>
      <c r="F731" s="129"/>
      <c r="G731" s="8"/>
      <c r="L731" s="172"/>
      <c r="Q731" s="128"/>
    </row>
    <row r="732">
      <c r="B732" s="8"/>
      <c r="C732" s="8"/>
      <c r="D732" s="8"/>
      <c r="E732" s="8"/>
      <c r="F732" s="129"/>
      <c r="G732" s="8"/>
      <c r="L732" s="172"/>
      <c r="Q732" s="128"/>
    </row>
    <row r="733">
      <c r="B733" s="8"/>
      <c r="C733" s="8"/>
      <c r="D733" s="8"/>
      <c r="E733" s="8"/>
      <c r="F733" s="129"/>
      <c r="G733" s="8"/>
      <c r="L733" s="172"/>
      <c r="Q733" s="128"/>
    </row>
    <row r="734">
      <c r="B734" s="8"/>
      <c r="C734" s="8"/>
      <c r="D734" s="8"/>
      <c r="E734" s="8"/>
      <c r="F734" s="129"/>
      <c r="G734" s="8"/>
      <c r="L734" s="172"/>
      <c r="Q734" s="128"/>
    </row>
    <row r="735">
      <c r="B735" s="8"/>
      <c r="C735" s="8"/>
      <c r="D735" s="8"/>
      <c r="E735" s="8"/>
      <c r="F735" s="129"/>
      <c r="G735" s="8"/>
      <c r="L735" s="172"/>
      <c r="Q735" s="128"/>
    </row>
    <row r="736">
      <c r="B736" s="8"/>
      <c r="C736" s="8"/>
      <c r="D736" s="8"/>
      <c r="E736" s="8"/>
      <c r="F736" s="129"/>
      <c r="G736" s="8"/>
      <c r="L736" s="172"/>
      <c r="Q736" s="128"/>
    </row>
    <row r="737">
      <c r="B737" s="8"/>
      <c r="C737" s="8"/>
      <c r="D737" s="8"/>
      <c r="E737" s="8"/>
      <c r="F737" s="129"/>
      <c r="G737" s="8"/>
      <c r="L737" s="172"/>
      <c r="Q737" s="128"/>
    </row>
    <row r="738">
      <c r="B738" s="8"/>
      <c r="C738" s="8"/>
      <c r="D738" s="8"/>
      <c r="E738" s="8"/>
      <c r="F738" s="129"/>
      <c r="G738" s="8"/>
      <c r="L738" s="172"/>
      <c r="Q738" s="128"/>
    </row>
    <row r="739">
      <c r="B739" s="8"/>
      <c r="C739" s="8"/>
      <c r="D739" s="8"/>
      <c r="E739" s="8"/>
      <c r="F739" s="129"/>
      <c r="G739" s="8"/>
      <c r="L739" s="172"/>
      <c r="Q739" s="128"/>
    </row>
    <row r="740">
      <c r="B740" s="8"/>
      <c r="C740" s="8"/>
      <c r="D740" s="8"/>
      <c r="E740" s="8"/>
      <c r="F740" s="129"/>
      <c r="G740" s="8"/>
      <c r="L740" s="172"/>
      <c r="Q740" s="128"/>
    </row>
    <row r="741">
      <c r="B741" s="8"/>
      <c r="C741" s="8"/>
      <c r="D741" s="8"/>
      <c r="E741" s="8"/>
      <c r="F741" s="129"/>
      <c r="G741" s="8"/>
      <c r="L741" s="172"/>
      <c r="Q741" s="128"/>
    </row>
    <row r="742">
      <c r="B742" s="8"/>
      <c r="C742" s="8"/>
      <c r="D742" s="8"/>
      <c r="E742" s="8"/>
      <c r="F742" s="129"/>
      <c r="G742" s="8"/>
      <c r="L742" s="172"/>
      <c r="Q742" s="128"/>
    </row>
    <row r="743">
      <c r="B743" s="8"/>
      <c r="C743" s="8"/>
      <c r="D743" s="8"/>
      <c r="E743" s="8"/>
      <c r="F743" s="129"/>
      <c r="G743" s="8"/>
      <c r="L743" s="172"/>
      <c r="Q743" s="128"/>
    </row>
    <row r="744">
      <c r="B744" s="8"/>
      <c r="C744" s="8"/>
      <c r="D744" s="8"/>
      <c r="E744" s="8"/>
      <c r="F744" s="129"/>
      <c r="G744" s="8"/>
      <c r="L744" s="172"/>
      <c r="Q744" s="128"/>
    </row>
    <row r="745">
      <c r="B745" s="8"/>
      <c r="C745" s="8"/>
      <c r="D745" s="8"/>
      <c r="E745" s="8"/>
      <c r="F745" s="129"/>
      <c r="G745" s="8"/>
      <c r="L745" s="172"/>
      <c r="Q745" s="128"/>
    </row>
    <row r="746">
      <c r="B746" s="8"/>
      <c r="C746" s="8"/>
      <c r="D746" s="8"/>
      <c r="E746" s="8"/>
      <c r="F746" s="129"/>
      <c r="G746" s="8"/>
      <c r="L746" s="172"/>
      <c r="Q746" s="128"/>
    </row>
    <row r="747">
      <c r="B747" s="8"/>
      <c r="C747" s="8"/>
      <c r="D747" s="8"/>
      <c r="E747" s="8"/>
      <c r="F747" s="129"/>
      <c r="G747" s="8"/>
      <c r="L747" s="172"/>
      <c r="Q747" s="128"/>
    </row>
    <row r="748">
      <c r="B748" s="8"/>
      <c r="C748" s="8"/>
      <c r="D748" s="8"/>
      <c r="E748" s="8"/>
      <c r="F748" s="129"/>
      <c r="G748" s="8"/>
      <c r="L748" s="172"/>
      <c r="Q748" s="128"/>
    </row>
    <row r="749">
      <c r="B749" s="8"/>
      <c r="C749" s="8"/>
      <c r="D749" s="8"/>
      <c r="E749" s="8"/>
      <c r="F749" s="129"/>
      <c r="G749" s="8"/>
      <c r="L749" s="172"/>
      <c r="Q749" s="128"/>
    </row>
    <row r="750">
      <c r="B750" s="8"/>
      <c r="C750" s="8"/>
      <c r="D750" s="8"/>
      <c r="E750" s="8"/>
      <c r="F750" s="129"/>
      <c r="G750" s="8"/>
      <c r="L750" s="172"/>
      <c r="Q750" s="128"/>
    </row>
    <row r="751">
      <c r="B751" s="8"/>
      <c r="C751" s="8"/>
      <c r="D751" s="8"/>
      <c r="E751" s="8"/>
      <c r="F751" s="129"/>
      <c r="G751" s="8"/>
      <c r="L751" s="172"/>
      <c r="Q751" s="128"/>
    </row>
    <row r="752">
      <c r="B752" s="8"/>
      <c r="C752" s="8"/>
      <c r="D752" s="8"/>
      <c r="E752" s="8"/>
      <c r="F752" s="129"/>
      <c r="G752" s="8"/>
      <c r="L752" s="172"/>
      <c r="Q752" s="128"/>
    </row>
    <row r="753">
      <c r="B753" s="8"/>
      <c r="C753" s="8"/>
      <c r="D753" s="8"/>
      <c r="E753" s="8"/>
      <c r="F753" s="129"/>
      <c r="G753" s="8"/>
      <c r="L753" s="172"/>
      <c r="Q753" s="128"/>
    </row>
    <row r="754">
      <c r="B754" s="8"/>
      <c r="C754" s="8"/>
      <c r="D754" s="8"/>
      <c r="E754" s="8"/>
      <c r="F754" s="129"/>
      <c r="G754" s="8"/>
      <c r="L754" s="172"/>
      <c r="Q754" s="128"/>
    </row>
    <row r="755">
      <c r="B755" s="8"/>
      <c r="C755" s="8"/>
      <c r="D755" s="8"/>
      <c r="E755" s="8"/>
      <c r="F755" s="129"/>
      <c r="G755" s="8"/>
      <c r="L755" s="172"/>
      <c r="Q755" s="128"/>
    </row>
    <row r="756">
      <c r="B756" s="8"/>
      <c r="C756" s="8"/>
      <c r="D756" s="8"/>
      <c r="E756" s="8"/>
      <c r="F756" s="129"/>
      <c r="G756" s="8"/>
      <c r="L756" s="172"/>
      <c r="Q756" s="128"/>
    </row>
    <row r="757">
      <c r="B757" s="8"/>
      <c r="C757" s="8"/>
      <c r="D757" s="8"/>
      <c r="E757" s="8"/>
      <c r="F757" s="129"/>
      <c r="G757" s="8"/>
      <c r="L757" s="172"/>
      <c r="Q757" s="128"/>
    </row>
    <row r="758">
      <c r="B758" s="8"/>
      <c r="C758" s="8"/>
      <c r="D758" s="8"/>
      <c r="E758" s="8"/>
      <c r="F758" s="129"/>
      <c r="G758" s="8"/>
      <c r="L758" s="172"/>
      <c r="Q758" s="128"/>
    </row>
    <row r="759">
      <c r="B759" s="8"/>
      <c r="C759" s="8"/>
      <c r="D759" s="8"/>
      <c r="E759" s="8"/>
      <c r="F759" s="129"/>
      <c r="G759" s="8"/>
      <c r="L759" s="172"/>
      <c r="Q759" s="128"/>
    </row>
    <row r="760">
      <c r="B760" s="8"/>
      <c r="C760" s="8"/>
      <c r="D760" s="8"/>
      <c r="E760" s="8"/>
      <c r="F760" s="129"/>
      <c r="G760" s="8"/>
      <c r="L760" s="172"/>
      <c r="Q760" s="128"/>
    </row>
    <row r="761">
      <c r="B761" s="8"/>
      <c r="C761" s="8"/>
      <c r="D761" s="8"/>
      <c r="E761" s="8"/>
      <c r="F761" s="129"/>
      <c r="G761" s="8"/>
      <c r="L761" s="172"/>
      <c r="Q761" s="128"/>
    </row>
    <row r="762">
      <c r="B762" s="8"/>
      <c r="C762" s="8"/>
      <c r="D762" s="8"/>
      <c r="E762" s="8"/>
      <c r="F762" s="129"/>
      <c r="G762" s="8"/>
      <c r="L762" s="172"/>
      <c r="Q762" s="128"/>
    </row>
    <row r="763">
      <c r="B763" s="8"/>
      <c r="C763" s="8"/>
      <c r="D763" s="8"/>
      <c r="E763" s="8"/>
      <c r="F763" s="129"/>
      <c r="G763" s="8"/>
      <c r="L763" s="172"/>
      <c r="Q763" s="128"/>
    </row>
    <row r="764">
      <c r="B764" s="8"/>
      <c r="C764" s="8"/>
      <c r="D764" s="8"/>
      <c r="E764" s="8"/>
      <c r="F764" s="129"/>
      <c r="G764" s="8"/>
      <c r="L764" s="172"/>
      <c r="Q764" s="128"/>
    </row>
    <row r="765">
      <c r="B765" s="8"/>
      <c r="C765" s="8"/>
      <c r="D765" s="8"/>
      <c r="E765" s="8"/>
      <c r="F765" s="129"/>
      <c r="G765" s="8"/>
      <c r="L765" s="172"/>
      <c r="Q765" s="128"/>
    </row>
    <row r="766">
      <c r="B766" s="8"/>
      <c r="C766" s="8"/>
      <c r="D766" s="8"/>
      <c r="E766" s="8"/>
      <c r="F766" s="129"/>
      <c r="G766" s="8"/>
      <c r="L766" s="172"/>
      <c r="Q766" s="128"/>
    </row>
    <row r="767">
      <c r="B767" s="8"/>
      <c r="C767" s="8"/>
      <c r="D767" s="8"/>
      <c r="E767" s="8"/>
      <c r="F767" s="129"/>
      <c r="G767" s="8"/>
      <c r="L767" s="172"/>
      <c r="Q767" s="128"/>
    </row>
    <row r="768">
      <c r="B768" s="8"/>
      <c r="C768" s="8"/>
      <c r="D768" s="8"/>
      <c r="E768" s="8"/>
      <c r="F768" s="129"/>
      <c r="G768" s="8"/>
      <c r="L768" s="172"/>
      <c r="Q768" s="128"/>
    </row>
    <row r="769">
      <c r="B769" s="8"/>
      <c r="C769" s="8"/>
      <c r="D769" s="8"/>
      <c r="E769" s="8"/>
      <c r="F769" s="129"/>
      <c r="G769" s="8"/>
      <c r="L769" s="172"/>
      <c r="Q769" s="128"/>
    </row>
    <row r="770">
      <c r="B770" s="8"/>
      <c r="C770" s="8"/>
      <c r="D770" s="8"/>
      <c r="E770" s="8"/>
      <c r="F770" s="129"/>
      <c r="G770" s="8"/>
      <c r="L770" s="172"/>
      <c r="Q770" s="128"/>
    </row>
    <row r="771">
      <c r="B771" s="8"/>
      <c r="C771" s="8"/>
      <c r="D771" s="8"/>
      <c r="E771" s="8"/>
      <c r="F771" s="129"/>
      <c r="G771" s="8"/>
      <c r="L771" s="172"/>
      <c r="Q771" s="128"/>
    </row>
    <row r="772">
      <c r="B772" s="8"/>
      <c r="C772" s="8"/>
      <c r="D772" s="8"/>
      <c r="E772" s="8"/>
      <c r="F772" s="129"/>
      <c r="G772" s="8"/>
      <c r="L772" s="172"/>
      <c r="Q772" s="128"/>
    </row>
    <row r="773">
      <c r="B773" s="8"/>
      <c r="C773" s="8"/>
      <c r="D773" s="8"/>
      <c r="E773" s="8"/>
      <c r="F773" s="129"/>
      <c r="G773" s="8"/>
      <c r="L773" s="172"/>
      <c r="Q773" s="128"/>
    </row>
    <row r="774">
      <c r="B774" s="8"/>
      <c r="C774" s="8"/>
      <c r="D774" s="8"/>
      <c r="E774" s="8"/>
      <c r="F774" s="129"/>
      <c r="G774" s="8"/>
      <c r="L774" s="172"/>
      <c r="Q774" s="128"/>
    </row>
    <row r="775">
      <c r="B775" s="8"/>
      <c r="C775" s="8"/>
      <c r="D775" s="8"/>
      <c r="E775" s="8"/>
      <c r="F775" s="129"/>
      <c r="G775" s="8"/>
      <c r="L775" s="172"/>
      <c r="Q775" s="128"/>
    </row>
    <row r="776">
      <c r="B776" s="8"/>
      <c r="C776" s="8"/>
      <c r="D776" s="8"/>
      <c r="E776" s="8"/>
      <c r="F776" s="129"/>
      <c r="G776" s="8"/>
      <c r="L776" s="172"/>
      <c r="Q776" s="128"/>
    </row>
    <row r="777">
      <c r="B777" s="8"/>
      <c r="C777" s="8"/>
      <c r="D777" s="8"/>
      <c r="E777" s="8"/>
      <c r="F777" s="129"/>
      <c r="G777" s="8"/>
      <c r="L777" s="172"/>
      <c r="Q777" s="128"/>
    </row>
    <row r="778">
      <c r="B778" s="8"/>
      <c r="C778" s="8"/>
      <c r="D778" s="8"/>
      <c r="E778" s="8"/>
      <c r="F778" s="129"/>
      <c r="G778" s="8"/>
      <c r="L778" s="172"/>
      <c r="Q778" s="128"/>
    </row>
    <row r="779">
      <c r="B779" s="8"/>
      <c r="C779" s="8"/>
      <c r="D779" s="8"/>
      <c r="E779" s="8"/>
      <c r="F779" s="129"/>
      <c r="G779" s="8"/>
      <c r="L779" s="172"/>
      <c r="Q779" s="128"/>
    </row>
    <row r="780">
      <c r="B780" s="8"/>
      <c r="C780" s="8"/>
      <c r="D780" s="8"/>
      <c r="E780" s="8"/>
      <c r="F780" s="129"/>
      <c r="G780" s="8"/>
      <c r="L780" s="172"/>
      <c r="Q780" s="128"/>
    </row>
    <row r="781">
      <c r="B781" s="8"/>
      <c r="C781" s="8"/>
      <c r="D781" s="8"/>
      <c r="E781" s="8"/>
      <c r="F781" s="129"/>
      <c r="G781" s="8"/>
      <c r="L781" s="172"/>
      <c r="Q781" s="128"/>
    </row>
    <row r="782">
      <c r="B782" s="8"/>
      <c r="C782" s="8"/>
      <c r="D782" s="8"/>
      <c r="E782" s="8"/>
      <c r="F782" s="129"/>
      <c r="G782" s="8"/>
      <c r="L782" s="172"/>
      <c r="Q782" s="128"/>
    </row>
    <row r="783">
      <c r="B783" s="8"/>
      <c r="C783" s="8"/>
      <c r="D783" s="8"/>
      <c r="E783" s="8"/>
      <c r="F783" s="129"/>
      <c r="G783" s="8"/>
      <c r="L783" s="172"/>
      <c r="Q783" s="128"/>
    </row>
    <row r="784">
      <c r="B784" s="8"/>
      <c r="C784" s="8"/>
      <c r="D784" s="8"/>
      <c r="E784" s="8"/>
      <c r="F784" s="129"/>
      <c r="G784" s="8"/>
      <c r="L784" s="172"/>
      <c r="Q784" s="128"/>
    </row>
    <row r="785">
      <c r="B785" s="8"/>
      <c r="C785" s="8"/>
      <c r="D785" s="8"/>
      <c r="E785" s="8"/>
      <c r="F785" s="129"/>
      <c r="G785" s="8"/>
      <c r="L785" s="172"/>
      <c r="Q785" s="128"/>
    </row>
    <row r="786">
      <c r="B786" s="8"/>
      <c r="C786" s="8"/>
      <c r="D786" s="8"/>
      <c r="E786" s="8"/>
      <c r="F786" s="129"/>
      <c r="G786" s="8"/>
      <c r="L786" s="172"/>
      <c r="Q786" s="128"/>
    </row>
    <row r="787">
      <c r="B787" s="8"/>
      <c r="C787" s="8"/>
      <c r="D787" s="8"/>
      <c r="E787" s="8"/>
      <c r="F787" s="129"/>
      <c r="G787" s="8"/>
      <c r="L787" s="172"/>
      <c r="Q787" s="128"/>
    </row>
    <row r="788">
      <c r="B788" s="8"/>
      <c r="C788" s="8"/>
      <c r="D788" s="8"/>
      <c r="E788" s="8"/>
      <c r="F788" s="129"/>
      <c r="G788" s="8"/>
      <c r="L788" s="172"/>
      <c r="Q788" s="128"/>
    </row>
    <row r="789">
      <c r="B789" s="8"/>
      <c r="C789" s="8"/>
      <c r="D789" s="8"/>
      <c r="E789" s="8"/>
      <c r="F789" s="129"/>
      <c r="G789" s="8"/>
      <c r="L789" s="172"/>
      <c r="Q789" s="128"/>
    </row>
    <row r="790">
      <c r="B790" s="8"/>
      <c r="C790" s="8"/>
      <c r="D790" s="8"/>
      <c r="E790" s="8"/>
      <c r="F790" s="129"/>
      <c r="G790" s="8"/>
      <c r="L790" s="172"/>
      <c r="Q790" s="128"/>
    </row>
    <row r="791">
      <c r="B791" s="8"/>
      <c r="C791" s="8"/>
      <c r="D791" s="8"/>
      <c r="E791" s="8"/>
      <c r="F791" s="129"/>
      <c r="G791" s="8"/>
      <c r="L791" s="172"/>
      <c r="Q791" s="128"/>
    </row>
    <row r="792">
      <c r="B792" s="8"/>
      <c r="C792" s="8"/>
      <c r="D792" s="8"/>
      <c r="E792" s="8"/>
      <c r="F792" s="129"/>
      <c r="G792" s="8"/>
      <c r="L792" s="172"/>
      <c r="Q792" s="128"/>
    </row>
    <row r="793">
      <c r="B793" s="8"/>
      <c r="C793" s="8"/>
      <c r="D793" s="8"/>
      <c r="E793" s="8"/>
      <c r="F793" s="129"/>
      <c r="G793" s="8"/>
      <c r="L793" s="172"/>
      <c r="Q793" s="128"/>
    </row>
    <row r="794">
      <c r="B794" s="8"/>
      <c r="C794" s="8"/>
      <c r="D794" s="8"/>
      <c r="E794" s="8"/>
      <c r="F794" s="129"/>
      <c r="G794" s="8"/>
      <c r="L794" s="172"/>
      <c r="Q794" s="128"/>
    </row>
    <row r="795">
      <c r="B795" s="8"/>
      <c r="C795" s="8"/>
      <c r="D795" s="8"/>
      <c r="E795" s="8"/>
      <c r="F795" s="129"/>
      <c r="G795" s="8"/>
      <c r="L795" s="172"/>
      <c r="Q795" s="128"/>
    </row>
    <row r="796">
      <c r="B796" s="8"/>
      <c r="C796" s="8"/>
      <c r="D796" s="8"/>
      <c r="E796" s="8"/>
      <c r="F796" s="129"/>
      <c r="G796" s="8"/>
      <c r="L796" s="172"/>
      <c r="Q796" s="128"/>
    </row>
    <row r="797">
      <c r="B797" s="8"/>
      <c r="C797" s="8"/>
      <c r="D797" s="8"/>
      <c r="E797" s="8"/>
      <c r="F797" s="129"/>
      <c r="G797" s="8"/>
      <c r="L797" s="172"/>
      <c r="Q797" s="128"/>
    </row>
    <row r="798">
      <c r="B798" s="8"/>
      <c r="C798" s="8"/>
      <c r="D798" s="8"/>
      <c r="E798" s="8"/>
      <c r="F798" s="129"/>
      <c r="G798" s="8"/>
      <c r="L798" s="172"/>
      <c r="Q798" s="128"/>
    </row>
    <row r="799">
      <c r="B799" s="8"/>
      <c r="C799" s="8"/>
      <c r="D799" s="8"/>
      <c r="E799" s="8"/>
      <c r="F799" s="129"/>
      <c r="G799" s="8"/>
      <c r="L799" s="172"/>
      <c r="Q799" s="128"/>
    </row>
    <row r="800">
      <c r="B800" s="8"/>
      <c r="C800" s="8"/>
      <c r="D800" s="8"/>
      <c r="E800" s="8"/>
      <c r="F800" s="129"/>
      <c r="G800" s="8"/>
      <c r="L800" s="172"/>
      <c r="Q800" s="128"/>
    </row>
    <row r="801">
      <c r="B801" s="8"/>
      <c r="C801" s="8"/>
      <c r="D801" s="8"/>
      <c r="E801" s="8"/>
      <c r="F801" s="129"/>
      <c r="G801" s="8"/>
      <c r="L801" s="172"/>
      <c r="Q801" s="128"/>
    </row>
    <row r="802">
      <c r="B802" s="8"/>
      <c r="C802" s="8"/>
      <c r="D802" s="8"/>
      <c r="E802" s="8"/>
      <c r="F802" s="129"/>
      <c r="G802" s="8"/>
      <c r="L802" s="172"/>
      <c r="Q802" s="128"/>
    </row>
    <row r="803">
      <c r="B803" s="8"/>
      <c r="C803" s="8"/>
      <c r="D803" s="8"/>
      <c r="E803" s="8"/>
      <c r="F803" s="129"/>
      <c r="G803" s="8"/>
      <c r="L803" s="172"/>
      <c r="Q803" s="128"/>
    </row>
    <row r="804">
      <c r="B804" s="8"/>
      <c r="C804" s="8"/>
      <c r="D804" s="8"/>
      <c r="E804" s="8"/>
      <c r="F804" s="129"/>
      <c r="G804" s="8"/>
      <c r="L804" s="172"/>
      <c r="Q804" s="128"/>
    </row>
    <row r="805">
      <c r="B805" s="8"/>
      <c r="C805" s="8"/>
      <c r="D805" s="8"/>
      <c r="E805" s="8"/>
      <c r="F805" s="129"/>
      <c r="G805" s="8"/>
      <c r="L805" s="172"/>
      <c r="Q805" s="128"/>
    </row>
    <row r="806">
      <c r="B806" s="8"/>
      <c r="C806" s="8"/>
      <c r="D806" s="8"/>
      <c r="E806" s="8"/>
      <c r="F806" s="129"/>
      <c r="G806" s="8"/>
      <c r="L806" s="172"/>
      <c r="Q806" s="128"/>
    </row>
    <row r="807">
      <c r="B807" s="8"/>
      <c r="C807" s="8"/>
      <c r="D807" s="8"/>
      <c r="E807" s="8"/>
      <c r="F807" s="129"/>
      <c r="G807" s="8"/>
      <c r="L807" s="172"/>
      <c r="Q807" s="128"/>
    </row>
    <row r="808">
      <c r="B808" s="8"/>
      <c r="C808" s="8"/>
      <c r="D808" s="8"/>
      <c r="E808" s="8"/>
      <c r="F808" s="129"/>
      <c r="G808" s="8"/>
      <c r="L808" s="172"/>
      <c r="Q808" s="128"/>
    </row>
    <row r="809">
      <c r="B809" s="8"/>
      <c r="C809" s="8"/>
      <c r="D809" s="8"/>
      <c r="E809" s="8"/>
      <c r="F809" s="129"/>
      <c r="G809" s="8"/>
      <c r="L809" s="172"/>
      <c r="Q809" s="128"/>
    </row>
    <row r="810">
      <c r="B810" s="8"/>
      <c r="C810" s="8"/>
      <c r="D810" s="8"/>
      <c r="E810" s="8"/>
      <c r="F810" s="129"/>
      <c r="G810" s="8"/>
      <c r="L810" s="172"/>
      <c r="Q810" s="128"/>
    </row>
    <row r="811">
      <c r="B811" s="8"/>
      <c r="C811" s="8"/>
      <c r="D811" s="8"/>
      <c r="E811" s="8"/>
      <c r="F811" s="129"/>
      <c r="G811" s="8"/>
      <c r="L811" s="172"/>
      <c r="Q811" s="128"/>
    </row>
    <row r="812">
      <c r="B812" s="8"/>
      <c r="C812" s="8"/>
      <c r="D812" s="8"/>
      <c r="E812" s="8"/>
      <c r="F812" s="129"/>
      <c r="G812" s="8"/>
      <c r="L812" s="172"/>
      <c r="Q812" s="128"/>
    </row>
    <row r="813">
      <c r="B813" s="8"/>
      <c r="C813" s="8"/>
      <c r="D813" s="8"/>
      <c r="E813" s="8"/>
      <c r="F813" s="129"/>
      <c r="G813" s="8"/>
      <c r="L813" s="172"/>
      <c r="Q813" s="128"/>
    </row>
    <row r="814">
      <c r="B814" s="8"/>
      <c r="C814" s="8"/>
      <c r="D814" s="8"/>
      <c r="E814" s="8"/>
      <c r="F814" s="129"/>
      <c r="G814" s="8"/>
      <c r="L814" s="172"/>
      <c r="Q814" s="128"/>
    </row>
    <row r="815">
      <c r="B815" s="8"/>
      <c r="C815" s="8"/>
      <c r="D815" s="8"/>
      <c r="E815" s="8"/>
      <c r="F815" s="129"/>
      <c r="G815" s="8"/>
      <c r="L815" s="172"/>
      <c r="Q815" s="128"/>
    </row>
    <row r="816">
      <c r="B816" s="8"/>
      <c r="C816" s="8"/>
      <c r="D816" s="8"/>
      <c r="E816" s="8"/>
      <c r="F816" s="129"/>
      <c r="G816" s="8"/>
      <c r="L816" s="172"/>
      <c r="Q816" s="128"/>
    </row>
    <row r="817">
      <c r="B817" s="8"/>
      <c r="C817" s="8"/>
      <c r="D817" s="8"/>
      <c r="E817" s="8"/>
      <c r="F817" s="129"/>
      <c r="G817" s="8"/>
      <c r="L817" s="172"/>
      <c r="Q817" s="128"/>
    </row>
    <row r="818">
      <c r="B818" s="8"/>
      <c r="C818" s="8"/>
      <c r="D818" s="8"/>
      <c r="E818" s="8"/>
      <c r="F818" s="129"/>
      <c r="G818" s="8"/>
      <c r="L818" s="172"/>
      <c r="Q818" s="128"/>
    </row>
    <row r="819">
      <c r="B819" s="8"/>
      <c r="C819" s="8"/>
      <c r="D819" s="8"/>
      <c r="E819" s="8"/>
      <c r="F819" s="129"/>
      <c r="G819" s="8"/>
      <c r="L819" s="172"/>
      <c r="Q819" s="128"/>
    </row>
    <row r="820">
      <c r="B820" s="8"/>
      <c r="C820" s="8"/>
      <c r="D820" s="8"/>
      <c r="E820" s="8"/>
      <c r="F820" s="129"/>
      <c r="G820" s="8"/>
      <c r="L820" s="172"/>
      <c r="Q820" s="128"/>
    </row>
    <row r="821">
      <c r="B821" s="8"/>
      <c r="C821" s="8"/>
      <c r="D821" s="8"/>
      <c r="E821" s="8"/>
      <c r="F821" s="129"/>
      <c r="G821" s="8"/>
      <c r="L821" s="172"/>
      <c r="Q821" s="128"/>
    </row>
    <row r="822">
      <c r="B822" s="8"/>
      <c r="C822" s="8"/>
      <c r="D822" s="8"/>
      <c r="E822" s="8"/>
      <c r="F822" s="129"/>
      <c r="G822" s="8"/>
      <c r="L822" s="172"/>
      <c r="Q822" s="128"/>
    </row>
    <row r="823">
      <c r="B823" s="8"/>
      <c r="C823" s="8"/>
      <c r="D823" s="8"/>
      <c r="E823" s="8"/>
      <c r="F823" s="129"/>
      <c r="G823" s="8"/>
      <c r="L823" s="172"/>
      <c r="Q823" s="128"/>
    </row>
    <row r="824">
      <c r="B824" s="8"/>
      <c r="C824" s="8"/>
      <c r="D824" s="8"/>
      <c r="E824" s="8"/>
      <c r="F824" s="129"/>
      <c r="G824" s="8"/>
      <c r="L824" s="172"/>
      <c r="Q824" s="128"/>
    </row>
    <row r="825">
      <c r="B825" s="8"/>
      <c r="C825" s="8"/>
      <c r="D825" s="8"/>
      <c r="E825" s="8"/>
      <c r="F825" s="129"/>
      <c r="G825" s="8"/>
      <c r="L825" s="172"/>
      <c r="Q825" s="128"/>
    </row>
    <row r="826">
      <c r="B826" s="8"/>
      <c r="C826" s="8"/>
      <c r="D826" s="8"/>
      <c r="E826" s="8"/>
      <c r="F826" s="129"/>
      <c r="G826" s="8"/>
      <c r="L826" s="172"/>
      <c r="Q826" s="128"/>
    </row>
    <row r="827">
      <c r="B827" s="8"/>
      <c r="C827" s="8"/>
      <c r="D827" s="8"/>
      <c r="E827" s="8"/>
      <c r="F827" s="129"/>
      <c r="G827" s="8"/>
      <c r="L827" s="172"/>
      <c r="Q827" s="128"/>
    </row>
    <row r="828">
      <c r="B828" s="8"/>
      <c r="C828" s="8"/>
      <c r="D828" s="8"/>
      <c r="E828" s="8"/>
      <c r="F828" s="129"/>
      <c r="G828" s="8"/>
      <c r="L828" s="172"/>
      <c r="Q828" s="128"/>
    </row>
    <row r="829">
      <c r="B829" s="8"/>
      <c r="C829" s="8"/>
      <c r="D829" s="8"/>
      <c r="E829" s="8"/>
      <c r="F829" s="129"/>
      <c r="G829" s="8"/>
      <c r="L829" s="172"/>
      <c r="Q829" s="128"/>
    </row>
    <row r="830">
      <c r="B830" s="8"/>
      <c r="C830" s="8"/>
      <c r="D830" s="8"/>
      <c r="E830" s="8"/>
      <c r="F830" s="129"/>
      <c r="G830" s="8"/>
      <c r="L830" s="172"/>
      <c r="Q830" s="128"/>
    </row>
    <row r="831">
      <c r="B831" s="8"/>
      <c r="C831" s="8"/>
      <c r="D831" s="8"/>
      <c r="E831" s="8"/>
      <c r="F831" s="129"/>
      <c r="G831" s="8"/>
      <c r="L831" s="172"/>
      <c r="Q831" s="128"/>
    </row>
    <row r="832">
      <c r="B832" s="8"/>
      <c r="C832" s="8"/>
      <c r="D832" s="8"/>
      <c r="E832" s="8"/>
      <c r="F832" s="129"/>
      <c r="G832" s="8"/>
      <c r="L832" s="172"/>
      <c r="Q832" s="128"/>
    </row>
    <row r="833">
      <c r="B833" s="8"/>
      <c r="C833" s="8"/>
      <c r="D833" s="8"/>
      <c r="E833" s="8"/>
      <c r="F833" s="129"/>
      <c r="G833" s="8"/>
      <c r="L833" s="172"/>
      <c r="Q833" s="128"/>
    </row>
    <row r="834">
      <c r="B834" s="8"/>
      <c r="C834" s="8"/>
      <c r="D834" s="8"/>
      <c r="E834" s="8"/>
      <c r="F834" s="129"/>
      <c r="G834" s="8"/>
      <c r="L834" s="172"/>
      <c r="Q834" s="128"/>
    </row>
    <row r="835">
      <c r="B835" s="8"/>
      <c r="C835" s="8"/>
      <c r="D835" s="8"/>
      <c r="E835" s="8"/>
      <c r="F835" s="129"/>
      <c r="G835" s="8"/>
      <c r="L835" s="172"/>
      <c r="Q835" s="128"/>
    </row>
    <row r="836">
      <c r="B836" s="8"/>
      <c r="C836" s="8"/>
      <c r="D836" s="8"/>
      <c r="E836" s="8"/>
      <c r="F836" s="129"/>
      <c r="G836" s="8"/>
      <c r="L836" s="172"/>
      <c r="Q836" s="128"/>
    </row>
    <row r="837">
      <c r="B837" s="8"/>
      <c r="C837" s="8"/>
      <c r="D837" s="8"/>
      <c r="E837" s="8"/>
      <c r="F837" s="129"/>
      <c r="G837" s="8"/>
      <c r="L837" s="172"/>
      <c r="Q837" s="128"/>
    </row>
    <row r="838">
      <c r="B838" s="8"/>
      <c r="C838" s="8"/>
      <c r="D838" s="8"/>
      <c r="E838" s="8"/>
      <c r="F838" s="129"/>
      <c r="G838" s="8"/>
      <c r="L838" s="172"/>
      <c r="Q838" s="128"/>
    </row>
    <row r="839">
      <c r="B839" s="8"/>
      <c r="C839" s="8"/>
      <c r="D839" s="8"/>
      <c r="E839" s="8"/>
      <c r="F839" s="129"/>
      <c r="G839" s="8"/>
      <c r="L839" s="172"/>
      <c r="Q839" s="128"/>
    </row>
    <row r="840">
      <c r="B840" s="8"/>
      <c r="C840" s="8"/>
      <c r="D840" s="8"/>
      <c r="E840" s="8"/>
      <c r="F840" s="129"/>
      <c r="G840" s="8"/>
      <c r="L840" s="172"/>
      <c r="Q840" s="128"/>
    </row>
    <row r="841">
      <c r="B841" s="8"/>
      <c r="C841" s="8"/>
      <c r="D841" s="8"/>
      <c r="E841" s="8"/>
      <c r="F841" s="129"/>
      <c r="G841" s="8"/>
      <c r="L841" s="172"/>
      <c r="Q841" s="128"/>
    </row>
    <row r="842">
      <c r="B842" s="8"/>
      <c r="C842" s="8"/>
      <c r="D842" s="8"/>
      <c r="E842" s="8"/>
      <c r="F842" s="129"/>
      <c r="G842" s="8"/>
      <c r="L842" s="172"/>
      <c r="Q842" s="128"/>
    </row>
    <row r="843">
      <c r="B843" s="8"/>
      <c r="C843" s="8"/>
      <c r="D843" s="8"/>
      <c r="E843" s="8"/>
      <c r="F843" s="129"/>
      <c r="G843" s="8"/>
      <c r="L843" s="172"/>
      <c r="Q843" s="128"/>
    </row>
    <row r="844">
      <c r="B844" s="8"/>
      <c r="C844" s="8"/>
      <c r="D844" s="8"/>
      <c r="E844" s="8"/>
      <c r="F844" s="129"/>
      <c r="G844" s="8"/>
      <c r="L844" s="172"/>
      <c r="Q844" s="128"/>
    </row>
    <row r="845">
      <c r="B845" s="8"/>
      <c r="C845" s="8"/>
      <c r="D845" s="8"/>
      <c r="E845" s="8"/>
      <c r="F845" s="129"/>
      <c r="G845" s="8"/>
      <c r="L845" s="172"/>
      <c r="Q845" s="128"/>
    </row>
    <row r="846">
      <c r="B846" s="8"/>
      <c r="C846" s="8"/>
      <c r="D846" s="8"/>
      <c r="E846" s="8"/>
      <c r="F846" s="129"/>
      <c r="G846" s="8"/>
      <c r="L846" s="172"/>
      <c r="Q846" s="128"/>
    </row>
    <row r="847">
      <c r="B847" s="8"/>
      <c r="C847" s="8"/>
      <c r="D847" s="8"/>
      <c r="E847" s="8"/>
      <c r="F847" s="129"/>
      <c r="G847" s="8"/>
      <c r="L847" s="172"/>
      <c r="Q847" s="128"/>
    </row>
    <row r="848">
      <c r="B848" s="8"/>
      <c r="C848" s="8"/>
      <c r="D848" s="8"/>
      <c r="E848" s="8"/>
      <c r="F848" s="129"/>
      <c r="G848" s="8"/>
      <c r="L848" s="172"/>
      <c r="Q848" s="128"/>
    </row>
    <row r="849">
      <c r="B849" s="8"/>
      <c r="C849" s="8"/>
      <c r="D849" s="8"/>
      <c r="E849" s="8"/>
      <c r="F849" s="129"/>
      <c r="G849" s="8"/>
      <c r="L849" s="172"/>
      <c r="Q849" s="128"/>
    </row>
    <row r="850">
      <c r="B850" s="8"/>
      <c r="C850" s="8"/>
      <c r="D850" s="8"/>
      <c r="E850" s="8"/>
      <c r="F850" s="129"/>
      <c r="G850" s="8"/>
      <c r="L850" s="172"/>
      <c r="Q850" s="128"/>
    </row>
    <row r="851">
      <c r="B851" s="8"/>
      <c r="C851" s="8"/>
      <c r="D851" s="8"/>
      <c r="E851" s="8"/>
      <c r="F851" s="129"/>
      <c r="G851" s="8"/>
      <c r="L851" s="172"/>
      <c r="Q851" s="128"/>
    </row>
    <row r="852">
      <c r="B852" s="8"/>
      <c r="C852" s="8"/>
      <c r="D852" s="8"/>
      <c r="E852" s="8"/>
      <c r="F852" s="129"/>
      <c r="G852" s="8"/>
      <c r="L852" s="172"/>
      <c r="Q852" s="128"/>
    </row>
    <row r="853">
      <c r="B853" s="8"/>
      <c r="C853" s="8"/>
      <c r="D853" s="8"/>
      <c r="E853" s="8"/>
      <c r="F853" s="129"/>
      <c r="G853" s="8"/>
      <c r="L853" s="172"/>
      <c r="Q853" s="128"/>
    </row>
    <row r="854">
      <c r="B854" s="8"/>
      <c r="C854" s="8"/>
      <c r="D854" s="8"/>
      <c r="E854" s="8"/>
      <c r="F854" s="129"/>
      <c r="G854" s="8"/>
      <c r="L854" s="172"/>
      <c r="Q854" s="128"/>
    </row>
    <row r="855">
      <c r="B855" s="8"/>
      <c r="C855" s="8"/>
      <c r="D855" s="8"/>
      <c r="E855" s="8"/>
      <c r="F855" s="129"/>
      <c r="G855" s="8"/>
      <c r="L855" s="172"/>
      <c r="Q855" s="128"/>
    </row>
    <row r="856">
      <c r="B856" s="8"/>
      <c r="C856" s="8"/>
      <c r="D856" s="8"/>
      <c r="E856" s="8"/>
      <c r="F856" s="129"/>
      <c r="G856" s="8"/>
      <c r="L856" s="172"/>
      <c r="Q856" s="128"/>
    </row>
    <row r="857">
      <c r="B857" s="8"/>
      <c r="C857" s="8"/>
      <c r="D857" s="8"/>
      <c r="E857" s="8"/>
      <c r="F857" s="129"/>
      <c r="G857" s="8"/>
      <c r="L857" s="172"/>
      <c r="Q857" s="128"/>
    </row>
    <row r="858">
      <c r="B858" s="8"/>
      <c r="C858" s="8"/>
      <c r="D858" s="8"/>
      <c r="E858" s="8"/>
      <c r="F858" s="129"/>
      <c r="G858" s="8"/>
      <c r="L858" s="172"/>
      <c r="Q858" s="128"/>
    </row>
    <row r="859">
      <c r="B859" s="8"/>
      <c r="C859" s="8"/>
      <c r="D859" s="8"/>
      <c r="E859" s="8"/>
      <c r="F859" s="129"/>
      <c r="G859" s="8"/>
      <c r="L859" s="172"/>
      <c r="Q859" s="128"/>
    </row>
    <row r="860">
      <c r="B860" s="8"/>
      <c r="C860" s="8"/>
      <c r="D860" s="8"/>
      <c r="E860" s="8"/>
      <c r="F860" s="129"/>
      <c r="G860" s="8"/>
      <c r="L860" s="172"/>
      <c r="Q860" s="128"/>
    </row>
    <row r="861">
      <c r="B861" s="8"/>
      <c r="C861" s="8"/>
      <c r="D861" s="8"/>
      <c r="E861" s="8"/>
      <c r="F861" s="129"/>
      <c r="G861" s="8"/>
      <c r="L861" s="172"/>
      <c r="Q861" s="128"/>
    </row>
    <row r="862">
      <c r="B862" s="8"/>
      <c r="C862" s="8"/>
      <c r="D862" s="8"/>
      <c r="E862" s="8"/>
      <c r="F862" s="129"/>
      <c r="G862" s="8"/>
      <c r="L862" s="172"/>
      <c r="Q862" s="128"/>
    </row>
    <row r="863">
      <c r="B863" s="8"/>
      <c r="C863" s="8"/>
      <c r="D863" s="8"/>
      <c r="E863" s="8"/>
      <c r="F863" s="129"/>
      <c r="G863" s="8"/>
      <c r="L863" s="172"/>
      <c r="Q863" s="128"/>
    </row>
    <row r="864">
      <c r="B864" s="8"/>
      <c r="C864" s="8"/>
      <c r="D864" s="8"/>
      <c r="E864" s="8"/>
      <c r="F864" s="129"/>
      <c r="G864" s="8"/>
      <c r="L864" s="172"/>
      <c r="Q864" s="128"/>
    </row>
    <row r="865">
      <c r="B865" s="8"/>
      <c r="C865" s="8"/>
      <c r="D865" s="8"/>
      <c r="E865" s="8"/>
      <c r="F865" s="129"/>
      <c r="G865" s="8"/>
      <c r="L865" s="172"/>
      <c r="Q865" s="128"/>
    </row>
    <row r="866">
      <c r="B866" s="8"/>
      <c r="C866" s="8"/>
      <c r="D866" s="8"/>
      <c r="E866" s="8"/>
      <c r="F866" s="129"/>
      <c r="G866" s="8"/>
      <c r="L866" s="172"/>
      <c r="Q866" s="128"/>
    </row>
    <row r="867">
      <c r="B867" s="8"/>
      <c r="C867" s="8"/>
      <c r="D867" s="8"/>
      <c r="E867" s="8"/>
      <c r="F867" s="129"/>
      <c r="G867" s="8"/>
      <c r="L867" s="172"/>
      <c r="Q867" s="128"/>
    </row>
    <row r="868">
      <c r="B868" s="8"/>
      <c r="C868" s="8"/>
      <c r="D868" s="8"/>
      <c r="E868" s="8"/>
      <c r="F868" s="129"/>
      <c r="G868" s="8"/>
      <c r="L868" s="172"/>
      <c r="Q868" s="128"/>
    </row>
    <row r="869">
      <c r="B869" s="8"/>
      <c r="C869" s="8"/>
      <c r="D869" s="8"/>
      <c r="E869" s="8"/>
      <c r="F869" s="129"/>
      <c r="G869" s="8"/>
      <c r="L869" s="172"/>
      <c r="Q869" s="128"/>
    </row>
    <row r="870">
      <c r="B870" s="8"/>
      <c r="C870" s="8"/>
      <c r="D870" s="8"/>
      <c r="E870" s="8"/>
      <c r="F870" s="129"/>
      <c r="G870" s="8"/>
      <c r="L870" s="172"/>
      <c r="Q870" s="128"/>
    </row>
    <row r="871">
      <c r="B871" s="8"/>
      <c r="C871" s="8"/>
      <c r="D871" s="8"/>
      <c r="E871" s="8"/>
      <c r="F871" s="129"/>
      <c r="G871" s="8"/>
      <c r="L871" s="172"/>
      <c r="Q871" s="128"/>
    </row>
    <row r="872">
      <c r="B872" s="8"/>
      <c r="C872" s="8"/>
      <c r="D872" s="8"/>
      <c r="E872" s="8"/>
      <c r="F872" s="129"/>
      <c r="G872" s="8"/>
      <c r="L872" s="172"/>
      <c r="Q872" s="128"/>
    </row>
    <row r="873">
      <c r="B873" s="8"/>
      <c r="C873" s="8"/>
      <c r="D873" s="8"/>
      <c r="E873" s="8"/>
      <c r="F873" s="129"/>
      <c r="G873" s="8"/>
      <c r="L873" s="172"/>
      <c r="Q873" s="128"/>
    </row>
    <row r="874">
      <c r="B874" s="8"/>
      <c r="C874" s="8"/>
      <c r="D874" s="8"/>
      <c r="E874" s="8"/>
      <c r="F874" s="129"/>
      <c r="G874" s="8"/>
      <c r="L874" s="172"/>
      <c r="Q874" s="128"/>
    </row>
    <row r="875">
      <c r="B875" s="8"/>
      <c r="C875" s="8"/>
      <c r="D875" s="8"/>
      <c r="E875" s="8"/>
      <c r="F875" s="129"/>
      <c r="G875" s="8"/>
      <c r="L875" s="172"/>
      <c r="Q875" s="128"/>
    </row>
    <row r="876">
      <c r="B876" s="8"/>
      <c r="C876" s="8"/>
      <c r="D876" s="8"/>
      <c r="E876" s="8"/>
      <c r="F876" s="129"/>
      <c r="G876" s="8"/>
      <c r="L876" s="172"/>
      <c r="Q876" s="128"/>
    </row>
    <row r="877">
      <c r="B877" s="8"/>
      <c r="C877" s="8"/>
      <c r="D877" s="8"/>
      <c r="E877" s="8"/>
      <c r="F877" s="129"/>
      <c r="G877" s="8"/>
      <c r="L877" s="172"/>
      <c r="Q877" s="128"/>
    </row>
    <row r="878">
      <c r="B878" s="8"/>
      <c r="C878" s="8"/>
      <c r="D878" s="8"/>
      <c r="E878" s="8"/>
      <c r="F878" s="129"/>
      <c r="G878" s="8"/>
      <c r="L878" s="172"/>
      <c r="Q878" s="128"/>
    </row>
    <row r="879">
      <c r="B879" s="8"/>
      <c r="C879" s="8"/>
      <c r="D879" s="8"/>
      <c r="E879" s="8"/>
      <c r="F879" s="129"/>
      <c r="G879" s="8"/>
      <c r="L879" s="172"/>
      <c r="Q879" s="128"/>
    </row>
    <row r="880">
      <c r="B880" s="8"/>
      <c r="C880" s="8"/>
      <c r="D880" s="8"/>
      <c r="E880" s="8"/>
      <c r="F880" s="129"/>
      <c r="G880" s="8"/>
      <c r="L880" s="172"/>
      <c r="Q880" s="128"/>
    </row>
    <row r="881">
      <c r="B881" s="8"/>
      <c r="C881" s="8"/>
      <c r="D881" s="8"/>
      <c r="E881" s="8"/>
      <c r="F881" s="129"/>
      <c r="G881" s="8"/>
      <c r="L881" s="172"/>
      <c r="Q881" s="128"/>
    </row>
    <row r="882">
      <c r="B882" s="8"/>
      <c r="C882" s="8"/>
      <c r="D882" s="8"/>
      <c r="E882" s="8"/>
      <c r="F882" s="129"/>
      <c r="G882" s="8"/>
      <c r="L882" s="172"/>
      <c r="Q882" s="128"/>
    </row>
    <row r="883">
      <c r="B883" s="8"/>
      <c r="C883" s="8"/>
      <c r="D883" s="8"/>
      <c r="E883" s="8"/>
      <c r="F883" s="129"/>
      <c r="G883" s="8"/>
      <c r="L883" s="172"/>
      <c r="Q883" s="128"/>
    </row>
    <row r="884">
      <c r="B884" s="8"/>
      <c r="C884" s="8"/>
      <c r="D884" s="8"/>
      <c r="E884" s="8"/>
      <c r="F884" s="129"/>
      <c r="G884" s="8"/>
      <c r="L884" s="172"/>
      <c r="Q884" s="128"/>
    </row>
    <row r="885">
      <c r="B885" s="8"/>
      <c r="C885" s="8"/>
      <c r="D885" s="8"/>
      <c r="E885" s="8"/>
      <c r="F885" s="129"/>
      <c r="G885" s="8"/>
      <c r="L885" s="172"/>
      <c r="Q885" s="128"/>
    </row>
    <row r="886">
      <c r="B886" s="8"/>
      <c r="C886" s="8"/>
      <c r="D886" s="8"/>
      <c r="E886" s="8"/>
      <c r="F886" s="129"/>
      <c r="G886" s="8"/>
      <c r="L886" s="172"/>
      <c r="Q886" s="128"/>
    </row>
    <row r="887">
      <c r="B887" s="8"/>
      <c r="C887" s="8"/>
      <c r="D887" s="8"/>
      <c r="E887" s="8"/>
      <c r="F887" s="129"/>
      <c r="G887" s="8"/>
      <c r="L887" s="172"/>
      <c r="Q887" s="128"/>
    </row>
    <row r="888">
      <c r="B888" s="8"/>
      <c r="C888" s="8"/>
      <c r="D888" s="8"/>
      <c r="E888" s="8"/>
      <c r="F888" s="129"/>
      <c r="G888" s="8"/>
      <c r="L888" s="172"/>
      <c r="Q888" s="128"/>
    </row>
    <row r="889">
      <c r="B889" s="8"/>
      <c r="C889" s="8"/>
      <c r="D889" s="8"/>
      <c r="E889" s="8"/>
      <c r="F889" s="129"/>
      <c r="G889" s="8"/>
      <c r="L889" s="172"/>
      <c r="Q889" s="128"/>
    </row>
    <row r="890">
      <c r="B890" s="8"/>
      <c r="C890" s="8"/>
      <c r="D890" s="8"/>
      <c r="E890" s="8"/>
      <c r="F890" s="129"/>
      <c r="G890" s="8"/>
      <c r="L890" s="172"/>
      <c r="Q890" s="128"/>
    </row>
    <row r="891">
      <c r="B891" s="8"/>
      <c r="C891" s="8"/>
      <c r="D891" s="8"/>
      <c r="E891" s="8"/>
      <c r="F891" s="129"/>
      <c r="G891" s="8"/>
      <c r="L891" s="172"/>
      <c r="Q891" s="128"/>
    </row>
    <row r="892">
      <c r="B892" s="8"/>
      <c r="C892" s="8"/>
      <c r="D892" s="8"/>
      <c r="E892" s="8"/>
      <c r="F892" s="129"/>
      <c r="G892" s="8"/>
      <c r="L892" s="172"/>
      <c r="Q892" s="128"/>
    </row>
    <row r="893">
      <c r="B893" s="8"/>
      <c r="C893" s="8"/>
      <c r="D893" s="8"/>
      <c r="E893" s="8"/>
      <c r="F893" s="129"/>
      <c r="G893" s="8"/>
      <c r="L893" s="172"/>
      <c r="Q893" s="128"/>
    </row>
    <row r="894">
      <c r="B894" s="8"/>
      <c r="C894" s="8"/>
      <c r="D894" s="8"/>
      <c r="E894" s="8"/>
      <c r="F894" s="129"/>
      <c r="G894" s="8"/>
      <c r="L894" s="172"/>
      <c r="Q894" s="128"/>
    </row>
    <row r="895">
      <c r="B895" s="8"/>
      <c r="C895" s="8"/>
      <c r="D895" s="8"/>
      <c r="E895" s="8"/>
      <c r="F895" s="129"/>
      <c r="G895" s="8"/>
      <c r="L895" s="172"/>
      <c r="Q895" s="128"/>
    </row>
    <row r="896">
      <c r="B896" s="8"/>
      <c r="C896" s="8"/>
      <c r="D896" s="8"/>
      <c r="E896" s="8"/>
      <c r="F896" s="129"/>
      <c r="G896" s="8"/>
      <c r="L896" s="172"/>
      <c r="Q896" s="128"/>
    </row>
    <row r="897">
      <c r="B897" s="8"/>
      <c r="C897" s="8"/>
      <c r="D897" s="8"/>
      <c r="E897" s="8"/>
      <c r="F897" s="129"/>
      <c r="G897" s="8"/>
      <c r="L897" s="172"/>
      <c r="Q897" s="128"/>
    </row>
    <row r="898">
      <c r="B898" s="8"/>
      <c r="C898" s="8"/>
      <c r="D898" s="8"/>
      <c r="E898" s="8"/>
      <c r="F898" s="129"/>
      <c r="G898" s="8"/>
      <c r="L898" s="172"/>
      <c r="Q898" s="128"/>
    </row>
    <row r="899">
      <c r="B899" s="8"/>
      <c r="C899" s="8"/>
      <c r="D899" s="8"/>
      <c r="E899" s="8"/>
      <c r="F899" s="129"/>
      <c r="G899" s="8"/>
      <c r="L899" s="172"/>
      <c r="Q899" s="128"/>
    </row>
    <row r="900">
      <c r="B900" s="8"/>
      <c r="C900" s="8"/>
      <c r="D900" s="8"/>
      <c r="E900" s="8"/>
      <c r="F900" s="129"/>
      <c r="G900" s="8"/>
      <c r="L900" s="172"/>
      <c r="Q900" s="128"/>
    </row>
    <row r="901">
      <c r="B901" s="8"/>
      <c r="C901" s="8"/>
      <c r="D901" s="8"/>
      <c r="E901" s="8"/>
      <c r="F901" s="129"/>
      <c r="G901" s="8"/>
      <c r="L901" s="172"/>
      <c r="Q901" s="128"/>
    </row>
    <row r="902">
      <c r="B902" s="8"/>
      <c r="C902" s="8"/>
      <c r="D902" s="8"/>
      <c r="E902" s="8"/>
      <c r="F902" s="129"/>
      <c r="G902" s="8"/>
      <c r="L902" s="172"/>
      <c r="Q902" s="128"/>
    </row>
    <row r="903">
      <c r="B903" s="8"/>
      <c r="C903" s="8"/>
      <c r="D903" s="8"/>
      <c r="E903" s="8"/>
      <c r="F903" s="129"/>
      <c r="G903" s="8"/>
      <c r="L903" s="172"/>
      <c r="Q903" s="128"/>
    </row>
    <row r="904">
      <c r="B904" s="8"/>
      <c r="C904" s="8"/>
      <c r="D904" s="8"/>
      <c r="E904" s="8"/>
      <c r="F904" s="129"/>
      <c r="G904" s="8"/>
      <c r="L904" s="172"/>
      <c r="Q904" s="128"/>
    </row>
    <row r="905">
      <c r="B905" s="8"/>
      <c r="C905" s="8"/>
      <c r="D905" s="8"/>
      <c r="E905" s="8"/>
      <c r="F905" s="129"/>
      <c r="G905" s="8"/>
      <c r="L905" s="172"/>
      <c r="Q905" s="128"/>
    </row>
    <row r="906">
      <c r="B906" s="8"/>
      <c r="C906" s="8"/>
      <c r="D906" s="8"/>
      <c r="E906" s="8"/>
      <c r="F906" s="129"/>
      <c r="G906" s="8"/>
      <c r="L906" s="172"/>
      <c r="Q906" s="128"/>
    </row>
    <row r="907">
      <c r="B907" s="8"/>
      <c r="C907" s="8"/>
      <c r="D907" s="8"/>
      <c r="E907" s="8"/>
      <c r="F907" s="129"/>
      <c r="G907" s="8"/>
      <c r="L907" s="172"/>
      <c r="Q907" s="128"/>
    </row>
    <row r="908">
      <c r="B908" s="8"/>
      <c r="C908" s="8"/>
      <c r="D908" s="8"/>
      <c r="E908" s="8"/>
      <c r="F908" s="129"/>
      <c r="G908" s="8"/>
      <c r="L908" s="172"/>
      <c r="Q908" s="128"/>
    </row>
    <row r="909">
      <c r="B909" s="8"/>
      <c r="C909" s="8"/>
      <c r="D909" s="8"/>
      <c r="E909" s="8"/>
      <c r="F909" s="129"/>
      <c r="G909" s="8"/>
      <c r="L909" s="172"/>
      <c r="Q909" s="128"/>
    </row>
    <row r="910">
      <c r="B910" s="8"/>
      <c r="C910" s="8"/>
      <c r="D910" s="8"/>
      <c r="E910" s="8"/>
      <c r="F910" s="129"/>
      <c r="G910" s="8"/>
      <c r="L910" s="172"/>
      <c r="Q910" s="128"/>
    </row>
    <row r="911">
      <c r="B911" s="8"/>
      <c r="C911" s="8"/>
      <c r="D911" s="8"/>
      <c r="E911" s="8"/>
      <c r="F911" s="129"/>
      <c r="G911" s="8"/>
      <c r="L911" s="172"/>
      <c r="Q911" s="128"/>
    </row>
    <row r="912">
      <c r="B912" s="8"/>
      <c r="C912" s="8"/>
      <c r="D912" s="8"/>
      <c r="E912" s="8"/>
      <c r="F912" s="129"/>
      <c r="G912" s="8"/>
      <c r="L912" s="172"/>
      <c r="Q912" s="128"/>
    </row>
    <row r="913">
      <c r="B913" s="8"/>
      <c r="C913" s="8"/>
      <c r="D913" s="8"/>
      <c r="E913" s="8"/>
      <c r="F913" s="129"/>
      <c r="G913" s="8"/>
      <c r="L913" s="172"/>
      <c r="Q913" s="128"/>
    </row>
    <row r="914">
      <c r="B914" s="8"/>
      <c r="C914" s="8"/>
      <c r="D914" s="8"/>
      <c r="E914" s="8"/>
      <c r="F914" s="129"/>
      <c r="G914" s="8"/>
      <c r="L914" s="172"/>
      <c r="Q914" s="128"/>
    </row>
    <row r="915">
      <c r="B915" s="8"/>
      <c r="C915" s="8"/>
      <c r="D915" s="8"/>
      <c r="E915" s="8"/>
      <c r="F915" s="129"/>
      <c r="G915" s="8"/>
      <c r="L915" s="172"/>
      <c r="Q915" s="128"/>
    </row>
    <row r="916">
      <c r="B916" s="8"/>
      <c r="C916" s="8"/>
      <c r="D916" s="8"/>
      <c r="E916" s="8"/>
      <c r="F916" s="129"/>
      <c r="G916" s="8"/>
      <c r="L916" s="172"/>
      <c r="Q916" s="128"/>
    </row>
    <row r="917">
      <c r="B917" s="8"/>
      <c r="C917" s="8"/>
      <c r="D917" s="8"/>
      <c r="E917" s="8"/>
      <c r="F917" s="129"/>
      <c r="G917" s="8"/>
      <c r="L917" s="172"/>
      <c r="Q917" s="128"/>
    </row>
    <row r="918">
      <c r="B918" s="8"/>
      <c r="C918" s="8"/>
      <c r="D918" s="8"/>
      <c r="E918" s="8"/>
      <c r="F918" s="129"/>
      <c r="G918" s="8"/>
      <c r="L918" s="172"/>
      <c r="Q918" s="128"/>
    </row>
    <row r="919">
      <c r="B919" s="8"/>
      <c r="C919" s="8"/>
      <c r="D919" s="8"/>
      <c r="E919" s="8"/>
      <c r="F919" s="129"/>
      <c r="G919" s="8"/>
      <c r="L919" s="172"/>
      <c r="Q919" s="128"/>
    </row>
    <row r="920">
      <c r="B920" s="8"/>
      <c r="C920" s="8"/>
      <c r="D920" s="8"/>
      <c r="E920" s="8"/>
      <c r="F920" s="129"/>
      <c r="G920" s="8"/>
      <c r="L920" s="172"/>
      <c r="Q920" s="128"/>
    </row>
    <row r="921">
      <c r="B921" s="8"/>
      <c r="C921" s="8"/>
      <c r="D921" s="8"/>
      <c r="E921" s="8"/>
      <c r="F921" s="129"/>
      <c r="G921" s="8"/>
      <c r="L921" s="172"/>
      <c r="Q921" s="128"/>
    </row>
    <row r="922">
      <c r="B922" s="8"/>
      <c r="C922" s="8"/>
      <c r="D922" s="8"/>
      <c r="E922" s="8"/>
      <c r="F922" s="129"/>
      <c r="G922" s="8"/>
      <c r="L922" s="172"/>
      <c r="Q922" s="128"/>
    </row>
    <row r="923">
      <c r="B923" s="8"/>
      <c r="C923" s="8"/>
      <c r="D923" s="8"/>
      <c r="E923" s="8"/>
      <c r="F923" s="129"/>
      <c r="G923" s="8"/>
      <c r="L923" s="172"/>
      <c r="Q923" s="128"/>
    </row>
    <row r="924">
      <c r="B924" s="8"/>
      <c r="C924" s="8"/>
      <c r="D924" s="8"/>
      <c r="E924" s="8"/>
      <c r="F924" s="129"/>
      <c r="G924" s="8"/>
      <c r="L924" s="172"/>
      <c r="Q924" s="128"/>
    </row>
    <row r="925">
      <c r="B925" s="8"/>
      <c r="C925" s="8"/>
      <c r="D925" s="8"/>
      <c r="E925" s="8"/>
      <c r="F925" s="129"/>
      <c r="G925" s="8"/>
      <c r="L925" s="172"/>
      <c r="Q925" s="128"/>
    </row>
    <row r="926">
      <c r="B926" s="8"/>
      <c r="C926" s="8"/>
      <c r="D926" s="8"/>
      <c r="E926" s="8"/>
      <c r="F926" s="129"/>
      <c r="G926" s="8"/>
      <c r="L926" s="172"/>
      <c r="Q926" s="128"/>
    </row>
    <row r="927">
      <c r="B927" s="8"/>
      <c r="C927" s="8"/>
      <c r="D927" s="8"/>
      <c r="E927" s="8"/>
      <c r="F927" s="129"/>
      <c r="G927" s="8"/>
      <c r="L927" s="172"/>
      <c r="Q927" s="128"/>
    </row>
    <row r="928">
      <c r="B928" s="8"/>
      <c r="C928" s="8"/>
      <c r="D928" s="8"/>
      <c r="E928" s="8"/>
      <c r="F928" s="129"/>
      <c r="G928" s="8"/>
      <c r="L928" s="172"/>
      <c r="Q928" s="128"/>
    </row>
    <row r="929">
      <c r="B929" s="8"/>
      <c r="C929" s="8"/>
      <c r="D929" s="8"/>
      <c r="E929" s="8"/>
      <c r="F929" s="129"/>
      <c r="G929" s="8"/>
      <c r="L929" s="172"/>
      <c r="Q929" s="128"/>
    </row>
    <row r="930">
      <c r="B930" s="8"/>
      <c r="C930" s="8"/>
      <c r="D930" s="8"/>
      <c r="E930" s="8"/>
      <c r="F930" s="129"/>
      <c r="G930" s="8"/>
      <c r="L930" s="172"/>
      <c r="Q930" s="128"/>
    </row>
    <row r="931">
      <c r="B931" s="8"/>
      <c r="C931" s="8"/>
      <c r="D931" s="8"/>
      <c r="E931" s="8"/>
      <c r="F931" s="129"/>
      <c r="G931" s="8"/>
      <c r="L931" s="172"/>
      <c r="Q931" s="128"/>
    </row>
    <row r="932">
      <c r="B932" s="8"/>
      <c r="C932" s="8"/>
      <c r="D932" s="8"/>
      <c r="E932" s="8"/>
      <c r="F932" s="129"/>
      <c r="G932" s="8"/>
      <c r="L932" s="172"/>
      <c r="Q932" s="128"/>
    </row>
    <row r="933">
      <c r="B933" s="8"/>
      <c r="C933" s="8"/>
      <c r="D933" s="8"/>
      <c r="E933" s="8"/>
      <c r="F933" s="129"/>
      <c r="G933" s="8"/>
      <c r="L933" s="172"/>
      <c r="Q933" s="128"/>
    </row>
    <row r="934">
      <c r="B934" s="8"/>
      <c r="C934" s="8"/>
      <c r="D934" s="8"/>
      <c r="E934" s="8"/>
      <c r="F934" s="129"/>
      <c r="G934" s="8"/>
      <c r="L934" s="172"/>
      <c r="Q934" s="128"/>
    </row>
    <row r="935">
      <c r="B935" s="8"/>
      <c r="C935" s="8"/>
      <c r="D935" s="8"/>
      <c r="E935" s="8"/>
      <c r="F935" s="129"/>
      <c r="G935" s="8"/>
      <c r="L935" s="172"/>
      <c r="Q935" s="128"/>
    </row>
    <row r="936">
      <c r="B936" s="8"/>
      <c r="C936" s="8"/>
      <c r="D936" s="8"/>
      <c r="E936" s="8"/>
      <c r="F936" s="129"/>
      <c r="G936" s="8"/>
      <c r="L936" s="172"/>
      <c r="Q936" s="128"/>
    </row>
    <row r="937">
      <c r="B937" s="8"/>
      <c r="C937" s="8"/>
      <c r="D937" s="8"/>
      <c r="E937" s="8"/>
      <c r="F937" s="129"/>
      <c r="G937" s="8"/>
      <c r="L937" s="172"/>
      <c r="Q937" s="128"/>
    </row>
    <row r="938">
      <c r="B938" s="8"/>
      <c r="C938" s="8"/>
      <c r="D938" s="8"/>
      <c r="E938" s="8"/>
      <c r="F938" s="129"/>
      <c r="G938" s="8"/>
      <c r="L938" s="172"/>
      <c r="Q938" s="128"/>
    </row>
    <row r="939">
      <c r="B939" s="8"/>
      <c r="C939" s="8"/>
      <c r="D939" s="8"/>
      <c r="E939" s="8"/>
      <c r="F939" s="129"/>
      <c r="G939" s="8"/>
      <c r="L939" s="172"/>
      <c r="Q939" s="128"/>
    </row>
    <row r="940">
      <c r="B940" s="8"/>
      <c r="C940" s="8"/>
      <c r="D940" s="8"/>
      <c r="E940" s="8"/>
      <c r="F940" s="129"/>
      <c r="G940" s="8"/>
      <c r="L940" s="172"/>
      <c r="Q940" s="128"/>
    </row>
    <row r="941">
      <c r="B941" s="8"/>
      <c r="C941" s="8"/>
      <c r="D941" s="8"/>
      <c r="E941" s="8"/>
      <c r="F941" s="129"/>
      <c r="G941" s="8"/>
      <c r="L941" s="172"/>
      <c r="Q941" s="128"/>
    </row>
    <row r="942">
      <c r="B942" s="8"/>
      <c r="C942" s="8"/>
      <c r="D942" s="8"/>
      <c r="E942" s="8"/>
      <c r="F942" s="129"/>
      <c r="G942" s="8"/>
      <c r="L942" s="172"/>
      <c r="Q942" s="128"/>
    </row>
    <row r="943">
      <c r="B943" s="8"/>
      <c r="C943" s="8"/>
      <c r="D943" s="8"/>
      <c r="E943" s="8"/>
      <c r="F943" s="129"/>
      <c r="G943" s="8"/>
      <c r="L943" s="172"/>
      <c r="Q943" s="128"/>
    </row>
    <row r="944">
      <c r="B944" s="8"/>
      <c r="C944" s="8"/>
      <c r="D944" s="8"/>
      <c r="E944" s="8"/>
      <c r="F944" s="129"/>
      <c r="G944" s="8"/>
      <c r="L944" s="172"/>
      <c r="Q944" s="128"/>
    </row>
    <row r="945">
      <c r="B945" s="8"/>
      <c r="C945" s="8"/>
      <c r="D945" s="8"/>
      <c r="E945" s="8"/>
      <c r="F945" s="129"/>
      <c r="G945" s="8"/>
      <c r="L945" s="172"/>
      <c r="Q945" s="128"/>
    </row>
    <row r="946">
      <c r="B946" s="8"/>
      <c r="C946" s="8"/>
      <c r="D946" s="8"/>
      <c r="E946" s="8"/>
      <c r="F946" s="129"/>
      <c r="G946" s="8"/>
      <c r="L946" s="172"/>
      <c r="Q946" s="128"/>
    </row>
    <row r="947">
      <c r="B947" s="8"/>
      <c r="C947" s="8"/>
      <c r="D947" s="8"/>
      <c r="E947" s="8"/>
      <c r="F947" s="129"/>
      <c r="G947" s="8"/>
      <c r="L947" s="172"/>
      <c r="Q947" s="128"/>
    </row>
    <row r="948">
      <c r="B948" s="8"/>
      <c r="C948" s="8"/>
      <c r="D948" s="8"/>
      <c r="E948" s="8"/>
      <c r="F948" s="129"/>
      <c r="G948" s="8"/>
      <c r="L948" s="172"/>
      <c r="Q948" s="128"/>
    </row>
    <row r="949">
      <c r="B949" s="8"/>
      <c r="C949" s="8"/>
      <c r="D949" s="8"/>
      <c r="E949" s="8"/>
      <c r="F949" s="129"/>
      <c r="G949" s="8"/>
      <c r="L949" s="172"/>
      <c r="Q949" s="128"/>
    </row>
    <row r="950">
      <c r="B950" s="8"/>
      <c r="C950" s="8"/>
      <c r="D950" s="8"/>
      <c r="E950" s="8"/>
      <c r="F950" s="129"/>
      <c r="G950" s="8"/>
      <c r="L950" s="172"/>
      <c r="Q950" s="128"/>
    </row>
    <row r="951">
      <c r="B951" s="8"/>
      <c r="C951" s="8"/>
      <c r="D951" s="8"/>
      <c r="E951" s="8"/>
      <c r="F951" s="129"/>
      <c r="G951" s="8"/>
      <c r="L951" s="172"/>
      <c r="Q951" s="128"/>
    </row>
    <row r="952">
      <c r="B952" s="8"/>
      <c r="C952" s="8"/>
      <c r="D952" s="8"/>
      <c r="E952" s="8"/>
      <c r="F952" s="129"/>
      <c r="G952" s="8"/>
      <c r="L952" s="172"/>
      <c r="Q952" s="128"/>
    </row>
    <row r="953">
      <c r="B953" s="8"/>
      <c r="C953" s="8"/>
      <c r="D953" s="8"/>
      <c r="E953" s="8"/>
      <c r="F953" s="129"/>
      <c r="G953" s="8"/>
      <c r="L953" s="172"/>
      <c r="Q953" s="128"/>
    </row>
    <row r="954">
      <c r="B954" s="8"/>
      <c r="C954" s="8"/>
      <c r="D954" s="8"/>
      <c r="E954" s="8"/>
      <c r="F954" s="129"/>
      <c r="G954" s="8"/>
      <c r="L954" s="172"/>
      <c r="Q954" s="128"/>
    </row>
    <row r="955">
      <c r="B955" s="8"/>
      <c r="C955" s="8"/>
      <c r="D955" s="8"/>
      <c r="E955" s="8"/>
      <c r="F955" s="129"/>
      <c r="G955" s="8"/>
      <c r="L955" s="172"/>
      <c r="Q955" s="128"/>
    </row>
    <row r="956">
      <c r="B956" s="8"/>
      <c r="C956" s="8"/>
      <c r="D956" s="8"/>
      <c r="E956" s="8"/>
      <c r="F956" s="129"/>
      <c r="G956" s="8"/>
      <c r="L956" s="172"/>
      <c r="Q956" s="128"/>
    </row>
    <row r="957">
      <c r="B957" s="8"/>
      <c r="C957" s="8"/>
      <c r="D957" s="8"/>
      <c r="E957" s="8"/>
      <c r="F957" s="129"/>
      <c r="G957" s="8"/>
      <c r="L957" s="172"/>
      <c r="Q957" s="128"/>
    </row>
    <row r="958">
      <c r="B958" s="8"/>
      <c r="C958" s="8"/>
      <c r="D958" s="8"/>
      <c r="E958" s="8"/>
      <c r="F958" s="129"/>
      <c r="G958" s="8"/>
      <c r="L958" s="172"/>
      <c r="Q958" s="128"/>
    </row>
    <row r="959">
      <c r="B959" s="8"/>
      <c r="C959" s="8"/>
      <c r="D959" s="8"/>
      <c r="E959" s="8"/>
      <c r="F959" s="129"/>
      <c r="G959" s="8"/>
      <c r="L959" s="172"/>
      <c r="Q959" s="128"/>
    </row>
    <row r="960">
      <c r="B960" s="8"/>
      <c r="C960" s="8"/>
      <c r="D960" s="8"/>
      <c r="E960" s="8"/>
      <c r="F960" s="129"/>
      <c r="G960" s="8"/>
      <c r="L960" s="172"/>
      <c r="Q960" s="128"/>
    </row>
    <row r="961">
      <c r="B961" s="8"/>
      <c r="C961" s="8"/>
      <c r="D961" s="8"/>
      <c r="E961" s="8"/>
      <c r="F961" s="129"/>
      <c r="G961" s="8"/>
      <c r="L961" s="172"/>
      <c r="Q961" s="128"/>
    </row>
    <row r="962">
      <c r="B962" s="8"/>
      <c r="C962" s="8"/>
      <c r="D962" s="8"/>
      <c r="E962" s="8"/>
      <c r="F962" s="129"/>
      <c r="G962" s="8"/>
      <c r="L962" s="172"/>
      <c r="Q962" s="128"/>
    </row>
    <row r="963">
      <c r="B963" s="8"/>
      <c r="C963" s="8"/>
      <c r="D963" s="8"/>
      <c r="E963" s="8"/>
      <c r="F963" s="129"/>
      <c r="G963" s="8"/>
      <c r="L963" s="172"/>
      <c r="Q963" s="128"/>
    </row>
    <row r="964">
      <c r="B964" s="8"/>
      <c r="C964" s="8"/>
      <c r="D964" s="8"/>
      <c r="E964" s="8"/>
      <c r="F964" s="129"/>
      <c r="G964" s="8"/>
      <c r="L964" s="172"/>
      <c r="Q964" s="128"/>
    </row>
    <row r="965">
      <c r="B965" s="8"/>
      <c r="C965" s="8"/>
      <c r="D965" s="8"/>
      <c r="E965" s="8"/>
      <c r="F965" s="129"/>
      <c r="G965" s="8"/>
      <c r="L965" s="172"/>
      <c r="Q965" s="128"/>
    </row>
    <row r="966">
      <c r="B966" s="8"/>
      <c r="C966" s="8"/>
      <c r="D966" s="8"/>
      <c r="E966" s="8"/>
      <c r="F966" s="129"/>
      <c r="G966" s="8"/>
      <c r="L966" s="172"/>
      <c r="Q966" s="128"/>
    </row>
    <row r="967">
      <c r="B967" s="8"/>
      <c r="C967" s="8"/>
      <c r="D967" s="8"/>
      <c r="E967" s="8"/>
      <c r="F967" s="129"/>
      <c r="G967" s="8"/>
      <c r="L967" s="172"/>
      <c r="Q967" s="128"/>
    </row>
    <row r="968">
      <c r="B968" s="8"/>
      <c r="C968" s="8"/>
      <c r="D968" s="8"/>
      <c r="E968" s="8"/>
      <c r="F968" s="129"/>
      <c r="G968" s="8"/>
      <c r="L968" s="172"/>
      <c r="Q968" s="128"/>
    </row>
    <row r="969">
      <c r="B969" s="8"/>
      <c r="C969" s="8"/>
      <c r="D969" s="8"/>
      <c r="E969" s="8"/>
      <c r="F969" s="129"/>
      <c r="G969" s="8"/>
      <c r="L969" s="172"/>
      <c r="Q969" s="128"/>
    </row>
    <row r="970">
      <c r="B970" s="8"/>
      <c r="C970" s="8"/>
      <c r="D970" s="8"/>
      <c r="E970" s="8"/>
      <c r="F970" s="129"/>
      <c r="G970" s="8"/>
      <c r="L970" s="172"/>
      <c r="Q970" s="128"/>
    </row>
    <row r="971">
      <c r="B971" s="8"/>
      <c r="C971" s="8"/>
      <c r="D971" s="8"/>
      <c r="E971" s="8"/>
      <c r="F971" s="129"/>
      <c r="G971" s="8"/>
      <c r="L971" s="172"/>
      <c r="Q971" s="128"/>
    </row>
    <row r="972">
      <c r="B972" s="8"/>
      <c r="C972" s="8"/>
      <c r="D972" s="8"/>
      <c r="E972" s="8"/>
      <c r="F972" s="129"/>
      <c r="G972" s="8"/>
      <c r="L972" s="172"/>
      <c r="Q972" s="128"/>
    </row>
    <row r="973">
      <c r="B973" s="8"/>
      <c r="C973" s="8"/>
      <c r="D973" s="8"/>
      <c r="E973" s="8"/>
      <c r="F973" s="129"/>
      <c r="G973" s="8"/>
      <c r="L973" s="172"/>
      <c r="Q973" s="128"/>
    </row>
    <row r="974">
      <c r="B974" s="8"/>
      <c r="C974" s="8"/>
      <c r="D974" s="8"/>
      <c r="E974" s="8"/>
      <c r="F974" s="129"/>
      <c r="G974" s="8"/>
      <c r="L974" s="172"/>
      <c r="Q974" s="128"/>
    </row>
    <row r="975">
      <c r="B975" s="8"/>
      <c r="C975" s="8"/>
      <c r="D975" s="8"/>
      <c r="E975" s="8"/>
      <c r="F975" s="129"/>
      <c r="G975" s="8"/>
      <c r="L975" s="172"/>
      <c r="Q975" s="128"/>
    </row>
    <row r="976">
      <c r="B976" s="8"/>
      <c r="C976" s="8"/>
      <c r="D976" s="8"/>
      <c r="E976" s="8"/>
      <c r="F976" s="129"/>
      <c r="G976" s="8"/>
      <c r="L976" s="172"/>
      <c r="Q976" s="128"/>
    </row>
    <row r="977">
      <c r="B977" s="8"/>
      <c r="C977" s="8"/>
      <c r="D977" s="8"/>
      <c r="E977" s="8"/>
      <c r="F977" s="129"/>
      <c r="G977" s="8"/>
      <c r="L977" s="172"/>
      <c r="Q977" s="128"/>
    </row>
    <row r="978">
      <c r="B978" s="8"/>
      <c r="C978" s="8"/>
      <c r="D978" s="8"/>
      <c r="E978" s="8"/>
      <c r="F978" s="129"/>
      <c r="G978" s="8"/>
      <c r="L978" s="172"/>
      <c r="Q978" s="128"/>
    </row>
    <row r="979">
      <c r="B979" s="8"/>
      <c r="C979" s="8"/>
      <c r="D979" s="8"/>
      <c r="E979" s="8"/>
      <c r="F979" s="129"/>
      <c r="G979" s="8"/>
      <c r="L979" s="172"/>
      <c r="Q979" s="128"/>
    </row>
    <row r="980">
      <c r="B980" s="8"/>
      <c r="C980" s="8"/>
      <c r="D980" s="8"/>
      <c r="E980" s="8"/>
      <c r="F980" s="129"/>
      <c r="G980" s="8"/>
      <c r="L980" s="172"/>
      <c r="Q980" s="128"/>
    </row>
    <row r="981">
      <c r="B981" s="8"/>
      <c r="C981" s="8"/>
      <c r="D981" s="8"/>
      <c r="E981" s="8"/>
      <c r="F981" s="129"/>
      <c r="G981" s="8"/>
      <c r="L981" s="172"/>
      <c r="Q981" s="128"/>
    </row>
    <row r="982">
      <c r="B982" s="8"/>
      <c r="C982" s="8"/>
      <c r="D982" s="8"/>
      <c r="E982" s="8"/>
      <c r="F982" s="129"/>
      <c r="G982" s="8"/>
      <c r="L982" s="172"/>
      <c r="Q982" s="128"/>
    </row>
    <row r="983">
      <c r="B983" s="8"/>
      <c r="C983" s="8"/>
      <c r="D983" s="8"/>
      <c r="E983" s="8"/>
      <c r="F983" s="129"/>
      <c r="G983" s="8"/>
      <c r="L983" s="172"/>
      <c r="Q983" s="128"/>
    </row>
    <row r="984">
      <c r="B984" s="8"/>
      <c r="C984" s="8"/>
      <c r="D984" s="8"/>
      <c r="E984" s="8"/>
      <c r="F984" s="129"/>
      <c r="G984" s="8"/>
      <c r="L984" s="172"/>
      <c r="Q984" s="128"/>
    </row>
    <row r="985">
      <c r="B985" s="8"/>
      <c r="C985" s="8"/>
      <c r="D985" s="8"/>
      <c r="E985" s="8"/>
      <c r="F985" s="129"/>
      <c r="G985" s="8"/>
      <c r="L985" s="172"/>
      <c r="Q985" s="128"/>
    </row>
    <row r="986">
      <c r="B986" s="8"/>
      <c r="C986" s="8"/>
      <c r="D986" s="8"/>
      <c r="E986" s="8"/>
      <c r="F986" s="129"/>
      <c r="G986" s="8"/>
      <c r="L986" s="172"/>
      <c r="Q986" s="128"/>
    </row>
    <row r="987">
      <c r="B987" s="8"/>
      <c r="C987" s="8"/>
      <c r="D987" s="8"/>
      <c r="E987" s="8"/>
      <c r="F987" s="129"/>
      <c r="G987" s="8"/>
      <c r="L987" s="172"/>
      <c r="Q987" s="128"/>
    </row>
    <row r="988">
      <c r="B988" s="8"/>
      <c r="C988" s="8"/>
      <c r="D988" s="8"/>
      <c r="E988" s="8"/>
      <c r="F988" s="129"/>
      <c r="G988" s="8"/>
      <c r="L988" s="172"/>
      <c r="Q988" s="128"/>
    </row>
    <row r="989">
      <c r="B989" s="8"/>
      <c r="C989" s="8"/>
      <c r="D989" s="8"/>
      <c r="E989" s="8"/>
      <c r="F989" s="129"/>
      <c r="G989" s="8"/>
      <c r="L989" s="172"/>
      <c r="Q989" s="128"/>
    </row>
    <row r="990">
      <c r="B990" s="8"/>
      <c r="C990" s="8"/>
      <c r="D990" s="8"/>
      <c r="E990" s="8"/>
      <c r="F990" s="129"/>
      <c r="G990" s="8"/>
      <c r="L990" s="172"/>
      <c r="Q990" s="128"/>
    </row>
    <row r="991">
      <c r="B991" s="8"/>
      <c r="C991" s="8"/>
      <c r="D991" s="8"/>
      <c r="E991" s="8"/>
      <c r="F991" s="129"/>
      <c r="G991" s="8"/>
      <c r="L991" s="172"/>
      <c r="Q991" s="128"/>
    </row>
    <row r="992">
      <c r="B992" s="8"/>
      <c r="C992" s="8"/>
      <c r="D992" s="8"/>
      <c r="E992" s="8"/>
      <c r="F992" s="129"/>
      <c r="G992" s="8"/>
      <c r="L992" s="172"/>
      <c r="Q992" s="128"/>
    </row>
    <row r="993">
      <c r="B993" s="8"/>
      <c r="C993" s="8"/>
      <c r="D993" s="8"/>
      <c r="E993" s="8"/>
      <c r="F993" s="129"/>
      <c r="G993" s="8"/>
      <c r="L993" s="172"/>
      <c r="Q993" s="128"/>
    </row>
    <row r="994">
      <c r="B994" s="8"/>
      <c r="C994" s="8"/>
      <c r="D994" s="8"/>
      <c r="E994" s="8"/>
      <c r="F994" s="129"/>
      <c r="G994" s="8"/>
      <c r="L994" s="172"/>
      <c r="Q994" s="128"/>
    </row>
    <row r="995">
      <c r="B995" s="8"/>
      <c r="C995" s="8"/>
      <c r="D995" s="8"/>
      <c r="E995" s="8"/>
      <c r="F995" s="129"/>
      <c r="G995" s="8"/>
      <c r="L995" s="172"/>
      <c r="Q995" s="128"/>
    </row>
    <row r="996">
      <c r="B996" s="8"/>
      <c r="C996" s="8"/>
      <c r="D996" s="8"/>
      <c r="E996" s="8"/>
      <c r="F996" s="129"/>
      <c r="G996" s="8"/>
      <c r="L996" s="172"/>
      <c r="Q996" s="128"/>
    </row>
    <row r="997">
      <c r="B997" s="8"/>
      <c r="C997" s="8"/>
      <c r="D997" s="8"/>
      <c r="E997" s="8"/>
      <c r="F997" s="129"/>
      <c r="G997" s="8"/>
      <c r="L997" s="172"/>
      <c r="Q997" s="128"/>
    </row>
    <row r="998">
      <c r="B998" s="8"/>
      <c r="C998" s="8"/>
      <c r="D998" s="8"/>
      <c r="E998" s="8"/>
      <c r="F998" s="129"/>
      <c r="G998" s="8"/>
      <c r="L998" s="172"/>
      <c r="Q998" s="128"/>
    </row>
    <row r="999">
      <c r="B999" s="8"/>
      <c r="C999" s="8"/>
      <c r="D999" s="8"/>
      <c r="E999" s="8"/>
      <c r="F999" s="129"/>
      <c r="G999" s="8"/>
      <c r="L999" s="172"/>
      <c r="Q999" s="128"/>
    </row>
    <row r="1000">
      <c r="B1000" s="8"/>
      <c r="C1000" s="8"/>
      <c r="D1000" s="8"/>
      <c r="E1000" s="8"/>
      <c r="F1000" s="129"/>
      <c r="G1000" s="8"/>
      <c r="L1000" s="172"/>
      <c r="Q1000" s="128"/>
    </row>
    <row r="1001">
      <c r="B1001" s="8"/>
      <c r="C1001" s="8"/>
      <c r="D1001" s="8"/>
      <c r="E1001" s="8"/>
      <c r="F1001" s="129"/>
      <c r="G1001" s="8"/>
      <c r="L1001" s="172"/>
      <c r="Q1001" s="128"/>
    </row>
    <row r="1002">
      <c r="B1002" s="8"/>
      <c r="C1002" s="8"/>
      <c r="D1002" s="8"/>
      <c r="E1002" s="8"/>
      <c r="F1002" s="129"/>
      <c r="G1002" s="8"/>
      <c r="L1002" s="172"/>
      <c r="Q1002" s="128"/>
    </row>
    <row r="1003">
      <c r="B1003" s="8"/>
      <c r="C1003" s="8"/>
      <c r="D1003" s="8"/>
      <c r="E1003" s="8"/>
      <c r="F1003" s="129"/>
      <c r="G1003" s="8"/>
      <c r="L1003" s="172"/>
      <c r="Q1003" s="128"/>
    </row>
    <row r="1004">
      <c r="B1004" s="8"/>
      <c r="C1004" s="8"/>
      <c r="D1004" s="8"/>
      <c r="E1004" s="8"/>
      <c r="F1004" s="129"/>
      <c r="G1004" s="8"/>
      <c r="L1004" s="172"/>
      <c r="Q1004" s="128"/>
    </row>
    <row r="1005">
      <c r="B1005" s="8"/>
      <c r="C1005" s="8"/>
      <c r="D1005" s="8"/>
      <c r="E1005" s="8"/>
      <c r="F1005" s="129"/>
      <c r="G1005" s="8"/>
      <c r="L1005" s="172"/>
      <c r="Q1005" s="128"/>
    </row>
    <row r="1006">
      <c r="B1006" s="8"/>
      <c r="C1006" s="8"/>
      <c r="D1006" s="8"/>
      <c r="E1006" s="8"/>
      <c r="F1006" s="129"/>
      <c r="G1006" s="8"/>
      <c r="L1006" s="172"/>
      <c r="Q1006" s="128"/>
    </row>
    <row r="1007">
      <c r="B1007" s="8"/>
      <c r="C1007" s="8"/>
      <c r="D1007" s="8"/>
      <c r="E1007" s="8"/>
      <c r="F1007" s="129"/>
      <c r="G1007" s="8"/>
      <c r="L1007" s="172"/>
      <c r="Q1007" s="128"/>
    </row>
    <row r="1008">
      <c r="B1008" s="8"/>
      <c r="C1008" s="8"/>
      <c r="D1008" s="8"/>
      <c r="E1008" s="8"/>
      <c r="F1008" s="129"/>
      <c r="G1008" s="8"/>
      <c r="L1008" s="172"/>
      <c r="Q1008" s="128"/>
    </row>
    <row r="1009">
      <c r="B1009" s="8"/>
      <c r="C1009" s="8"/>
      <c r="D1009" s="8"/>
      <c r="E1009" s="8"/>
      <c r="F1009" s="129"/>
      <c r="G1009" s="8"/>
      <c r="L1009" s="172"/>
      <c r="Q1009" s="128"/>
    </row>
    <row r="1010">
      <c r="B1010" s="8"/>
      <c r="C1010" s="8"/>
      <c r="D1010" s="8"/>
      <c r="E1010" s="8"/>
      <c r="F1010" s="129"/>
      <c r="G1010" s="8"/>
      <c r="L1010" s="172"/>
      <c r="Q1010" s="128"/>
    </row>
    <row r="1011">
      <c r="B1011" s="8"/>
      <c r="C1011" s="8"/>
      <c r="D1011" s="8"/>
      <c r="E1011" s="8"/>
      <c r="F1011" s="129"/>
      <c r="G1011" s="8"/>
      <c r="L1011" s="172"/>
      <c r="Q1011" s="128"/>
    </row>
    <row r="1012">
      <c r="B1012" s="8"/>
      <c r="C1012" s="8"/>
      <c r="D1012" s="8"/>
      <c r="E1012" s="8"/>
      <c r="F1012" s="129"/>
      <c r="G1012" s="8"/>
      <c r="L1012" s="172"/>
      <c r="Q1012" s="128"/>
    </row>
    <row r="1013">
      <c r="B1013" s="8"/>
      <c r="C1013" s="8"/>
      <c r="D1013" s="8"/>
      <c r="E1013" s="8"/>
      <c r="F1013" s="129"/>
      <c r="G1013" s="8"/>
      <c r="L1013" s="172"/>
      <c r="Q1013" s="128"/>
    </row>
    <row r="1014">
      <c r="B1014" s="8"/>
      <c r="C1014" s="8"/>
      <c r="D1014" s="8"/>
      <c r="E1014" s="8"/>
      <c r="F1014" s="129"/>
      <c r="G1014" s="8"/>
      <c r="L1014" s="172"/>
      <c r="Q1014" s="128"/>
    </row>
    <row r="1015">
      <c r="B1015" s="8"/>
      <c r="C1015" s="8"/>
      <c r="D1015" s="8"/>
      <c r="E1015" s="8"/>
      <c r="F1015" s="129"/>
      <c r="G1015" s="8"/>
      <c r="L1015" s="172"/>
      <c r="Q1015" s="128"/>
    </row>
    <row r="1016">
      <c r="B1016" s="8"/>
      <c r="C1016" s="8"/>
      <c r="D1016" s="8"/>
      <c r="E1016" s="8"/>
      <c r="F1016" s="129"/>
      <c r="G1016" s="8"/>
      <c r="L1016" s="172"/>
      <c r="Q1016" s="128"/>
    </row>
    <row r="1017">
      <c r="B1017" s="8"/>
      <c r="C1017" s="8"/>
      <c r="D1017" s="8"/>
      <c r="E1017" s="8"/>
      <c r="F1017" s="129"/>
      <c r="G1017" s="8"/>
      <c r="L1017" s="172"/>
      <c r="Q1017" s="128"/>
    </row>
    <row r="1018">
      <c r="B1018" s="8"/>
      <c r="C1018" s="8"/>
      <c r="D1018" s="8"/>
      <c r="E1018" s="8"/>
      <c r="F1018" s="129"/>
      <c r="G1018" s="8"/>
      <c r="L1018" s="172"/>
      <c r="Q1018" s="128"/>
    </row>
    <row r="1019">
      <c r="B1019" s="8"/>
      <c r="C1019" s="8"/>
      <c r="D1019" s="8"/>
      <c r="E1019" s="8"/>
      <c r="F1019" s="129"/>
      <c r="G1019" s="8"/>
      <c r="L1019" s="172"/>
      <c r="Q1019" s="128"/>
    </row>
  </sheetData>
  <mergeCells count="217">
    <mergeCell ref="C58:D58"/>
    <mergeCell ref="C59:D59"/>
    <mergeCell ref="C60:D60"/>
    <mergeCell ref="C55:D55"/>
    <mergeCell ref="G55:H55"/>
    <mergeCell ref="C56:D56"/>
    <mergeCell ref="G56:H56"/>
    <mergeCell ref="C57:D57"/>
    <mergeCell ref="G57:H57"/>
    <mergeCell ref="G58:H58"/>
    <mergeCell ref="C14:D14"/>
    <mergeCell ref="C15:D15"/>
    <mergeCell ref="C16:D16"/>
    <mergeCell ref="G15:H15"/>
    <mergeCell ref="G16:H16"/>
    <mergeCell ref="B20:K21"/>
    <mergeCell ref="B24:K25"/>
    <mergeCell ref="B27:E27"/>
    <mergeCell ref="G27:H27"/>
    <mergeCell ref="G28:H28"/>
    <mergeCell ref="G34:H34"/>
    <mergeCell ref="G35:H35"/>
    <mergeCell ref="G36:H36"/>
    <mergeCell ref="G37:H37"/>
    <mergeCell ref="G38:H38"/>
    <mergeCell ref="G39:H39"/>
    <mergeCell ref="G40:H40"/>
    <mergeCell ref="C30:D30"/>
    <mergeCell ref="G30:H30"/>
    <mergeCell ref="C31:D31"/>
    <mergeCell ref="G31:H31"/>
    <mergeCell ref="C32:D32"/>
    <mergeCell ref="G32:H32"/>
    <mergeCell ref="G33:H33"/>
    <mergeCell ref="C33:D33"/>
    <mergeCell ref="C34:D34"/>
    <mergeCell ref="C35:D35"/>
    <mergeCell ref="C36:D36"/>
    <mergeCell ref="C37:D37"/>
    <mergeCell ref="C38:D38"/>
    <mergeCell ref="B39:B40"/>
    <mergeCell ref="C39:D39"/>
    <mergeCell ref="C40:D40"/>
    <mergeCell ref="B42:K43"/>
    <mergeCell ref="B46:K47"/>
    <mergeCell ref="B49:E49"/>
    <mergeCell ref="G49:H49"/>
    <mergeCell ref="G50:H50"/>
    <mergeCell ref="G59:H59"/>
    <mergeCell ref="G60:H60"/>
    <mergeCell ref="B61:B62"/>
    <mergeCell ref="C61:D61"/>
    <mergeCell ref="G61:H61"/>
    <mergeCell ref="C62:D62"/>
    <mergeCell ref="G62:H62"/>
    <mergeCell ref="C6:D6"/>
    <mergeCell ref="C7:D7"/>
    <mergeCell ref="G7:H7"/>
    <mergeCell ref="C8:D8"/>
    <mergeCell ref="G8:H8"/>
    <mergeCell ref="C9:D9"/>
    <mergeCell ref="C10:D10"/>
    <mergeCell ref="B17:B18"/>
    <mergeCell ref="C17:D17"/>
    <mergeCell ref="G17:H17"/>
    <mergeCell ref="C18:D18"/>
    <mergeCell ref="G18:H18"/>
    <mergeCell ref="C11:D11"/>
    <mergeCell ref="G11:H11"/>
    <mergeCell ref="C12:D12"/>
    <mergeCell ref="G12:H12"/>
    <mergeCell ref="C13:D13"/>
    <mergeCell ref="G13:H13"/>
    <mergeCell ref="G14:H14"/>
    <mergeCell ref="R17:S17"/>
    <mergeCell ref="R18:S18"/>
    <mergeCell ref="R10:S10"/>
    <mergeCell ref="R11:S11"/>
    <mergeCell ref="R12:S12"/>
    <mergeCell ref="R13:S13"/>
    <mergeCell ref="R14:S14"/>
    <mergeCell ref="R15:S15"/>
    <mergeCell ref="R16:S16"/>
    <mergeCell ref="B2:K3"/>
    <mergeCell ref="M2:V3"/>
    <mergeCell ref="B5:E5"/>
    <mergeCell ref="G5:H5"/>
    <mergeCell ref="R5:S5"/>
    <mergeCell ref="G6:H6"/>
    <mergeCell ref="R6:S6"/>
    <mergeCell ref="G9:H9"/>
    <mergeCell ref="G10:H10"/>
    <mergeCell ref="M5:P5"/>
    <mergeCell ref="N6:O6"/>
    <mergeCell ref="N7:O7"/>
    <mergeCell ref="R7:S7"/>
    <mergeCell ref="N8:O8"/>
    <mergeCell ref="R8:S8"/>
    <mergeCell ref="R9:S9"/>
    <mergeCell ref="N9:O9"/>
    <mergeCell ref="N10:O10"/>
    <mergeCell ref="N11:O11"/>
    <mergeCell ref="N12:O12"/>
    <mergeCell ref="N13:O13"/>
    <mergeCell ref="N14:O14"/>
    <mergeCell ref="N15:O15"/>
    <mergeCell ref="N16:O16"/>
    <mergeCell ref="M17:M18"/>
    <mergeCell ref="N17:O17"/>
    <mergeCell ref="N18:O18"/>
    <mergeCell ref="M20:V21"/>
    <mergeCell ref="M24:V25"/>
    <mergeCell ref="R27:S27"/>
    <mergeCell ref="C28:D28"/>
    <mergeCell ref="C29:D29"/>
    <mergeCell ref="G29:H29"/>
    <mergeCell ref="N32:O32"/>
    <mergeCell ref="R32:S32"/>
    <mergeCell ref="G53:H53"/>
    <mergeCell ref="G54:H54"/>
    <mergeCell ref="C50:D50"/>
    <mergeCell ref="C51:D51"/>
    <mergeCell ref="G51:H51"/>
    <mergeCell ref="C52:D52"/>
    <mergeCell ref="G52:H52"/>
    <mergeCell ref="C53:D53"/>
    <mergeCell ref="C54:D54"/>
    <mergeCell ref="N57:O57"/>
    <mergeCell ref="N58:O58"/>
    <mergeCell ref="N59:O59"/>
    <mergeCell ref="N60:O60"/>
    <mergeCell ref="M61:M62"/>
    <mergeCell ref="N61:O61"/>
    <mergeCell ref="N62:O62"/>
    <mergeCell ref="R58:S58"/>
    <mergeCell ref="R59:S59"/>
    <mergeCell ref="R60:S60"/>
    <mergeCell ref="R61:S61"/>
    <mergeCell ref="R62:S62"/>
    <mergeCell ref="M64:V65"/>
    <mergeCell ref="N54:O54"/>
    <mergeCell ref="R54:S54"/>
    <mergeCell ref="N55:O55"/>
    <mergeCell ref="R55:S55"/>
    <mergeCell ref="N56:O56"/>
    <mergeCell ref="R56:S56"/>
    <mergeCell ref="R57:S57"/>
    <mergeCell ref="R30:S30"/>
    <mergeCell ref="R31:S31"/>
    <mergeCell ref="M27:P27"/>
    <mergeCell ref="N28:O28"/>
    <mergeCell ref="R28:S28"/>
    <mergeCell ref="N29:O29"/>
    <mergeCell ref="R29:S29"/>
    <mergeCell ref="N30:O30"/>
    <mergeCell ref="N31:O31"/>
    <mergeCell ref="N36:O36"/>
    <mergeCell ref="N37:O37"/>
    <mergeCell ref="N38:O38"/>
    <mergeCell ref="M39:M40"/>
    <mergeCell ref="N39:O39"/>
    <mergeCell ref="N40:O40"/>
    <mergeCell ref="N33:O33"/>
    <mergeCell ref="R33:S33"/>
    <mergeCell ref="N34:O34"/>
    <mergeCell ref="R34:S34"/>
    <mergeCell ref="N35:O35"/>
    <mergeCell ref="R35:S35"/>
    <mergeCell ref="R36:S36"/>
    <mergeCell ref="R37:S37"/>
    <mergeCell ref="R38:S38"/>
    <mergeCell ref="R39:S39"/>
    <mergeCell ref="R40:S40"/>
    <mergeCell ref="M42:V43"/>
    <mergeCell ref="M46:V47"/>
    <mergeCell ref="R49:S49"/>
    <mergeCell ref="R52:S52"/>
    <mergeCell ref="R53:S53"/>
    <mergeCell ref="M49:P49"/>
    <mergeCell ref="N50:O50"/>
    <mergeCell ref="R50:S50"/>
    <mergeCell ref="N51:O51"/>
    <mergeCell ref="R51:S51"/>
    <mergeCell ref="N52:O52"/>
    <mergeCell ref="N53:O53"/>
    <mergeCell ref="B64:K65"/>
    <mergeCell ref="B68:K69"/>
    <mergeCell ref="B71:E71"/>
    <mergeCell ref="G71:H71"/>
    <mergeCell ref="C72:D72"/>
    <mergeCell ref="G72:H72"/>
    <mergeCell ref="G73:H73"/>
    <mergeCell ref="G76:H76"/>
    <mergeCell ref="G77:H77"/>
    <mergeCell ref="C73:D73"/>
    <mergeCell ref="C74:D74"/>
    <mergeCell ref="G74:H74"/>
    <mergeCell ref="C75:D75"/>
    <mergeCell ref="G75:H75"/>
    <mergeCell ref="C76:D76"/>
    <mergeCell ref="C77:D77"/>
    <mergeCell ref="C81:D81"/>
    <mergeCell ref="C82:D82"/>
    <mergeCell ref="B83:B84"/>
    <mergeCell ref="C83:D83"/>
    <mergeCell ref="C84:D84"/>
    <mergeCell ref="G82:H82"/>
    <mergeCell ref="G83:H83"/>
    <mergeCell ref="G84:H84"/>
    <mergeCell ref="B86:K87"/>
    <mergeCell ref="C78:D78"/>
    <mergeCell ref="G78:H78"/>
    <mergeCell ref="C79:D79"/>
    <mergeCell ref="G79:H79"/>
    <mergeCell ref="C80:D80"/>
    <mergeCell ref="G80:H80"/>
    <mergeCell ref="G81:H8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.88"/>
    <col customWidth="1" min="3" max="3" width="15.38"/>
    <col customWidth="1" min="4" max="4" width="12.0"/>
    <col customWidth="1" min="6" max="6" width="5.88"/>
    <col customWidth="1" min="7" max="7" width="15.5"/>
    <col customWidth="1" min="8" max="8" width="15.63"/>
  </cols>
  <sheetData>
    <row r="1">
      <c r="B1" s="1"/>
      <c r="C1" s="1"/>
      <c r="D1" s="1"/>
      <c r="E1" s="1"/>
      <c r="F1" s="127"/>
      <c r="G1" s="1"/>
      <c r="L1" s="157"/>
    </row>
    <row r="2">
      <c r="B2" s="2" t="s">
        <v>0</v>
      </c>
      <c r="C2" s="3"/>
      <c r="D2" s="3"/>
      <c r="E2" s="3"/>
      <c r="F2" s="3"/>
      <c r="G2" s="3"/>
      <c r="H2" s="3"/>
      <c r="I2" s="3"/>
      <c r="J2" s="3"/>
      <c r="K2" s="4"/>
      <c r="L2" s="157"/>
    </row>
    <row r="3">
      <c r="B3" s="5"/>
      <c r="C3" s="6"/>
      <c r="D3" s="6"/>
      <c r="E3" s="6"/>
      <c r="F3" s="6"/>
      <c r="G3" s="6"/>
      <c r="H3" s="6"/>
      <c r="I3" s="6"/>
      <c r="J3" s="6"/>
      <c r="K3" s="7"/>
      <c r="L3" s="157"/>
    </row>
    <row r="4">
      <c r="B4" s="8"/>
      <c r="C4" s="8"/>
      <c r="D4" s="8"/>
      <c r="E4" s="68"/>
      <c r="F4" s="129"/>
      <c r="G4" s="8"/>
      <c r="L4" s="157"/>
    </row>
    <row r="5">
      <c r="B5" s="9" t="s">
        <v>26</v>
      </c>
      <c r="C5" s="10"/>
      <c r="D5" s="10"/>
      <c r="E5" s="11"/>
      <c r="F5" s="128"/>
      <c r="G5" s="72" t="s">
        <v>99</v>
      </c>
      <c r="H5" s="10"/>
      <c r="I5" s="12" t="s">
        <v>2</v>
      </c>
      <c r="J5" s="13" t="s">
        <v>3</v>
      </c>
      <c r="K5" s="14" t="s">
        <v>4</v>
      </c>
      <c r="L5" s="157"/>
    </row>
    <row r="6">
      <c r="B6" s="15">
        <v>1.0</v>
      </c>
      <c r="C6" s="16" t="s">
        <v>5</v>
      </c>
      <c r="D6" s="11"/>
      <c r="E6" s="15">
        <v>2317.0</v>
      </c>
      <c r="F6" s="128"/>
      <c r="G6" s="17" t="s">
        <v>6</v>
      </c>
      <c r="H6" s="18"/>
      <c r="I6" s="19">
        <f>E6</f>
        <v>2317</v>
      </c>
      <c r="J6" s="20"/>
      <c r="K6" s="21"/>
      <c r="L6" s="157"/>
    </row>
    <row r="7">
      <c r="B7" s="22">
        <v>2.0</v>
      </c>
      <c r="C7" s="23" t="s">
        <v>7</v>
      </c>
      <c r="D7" s="11"/>
      <c r="E7" s="214">
        <v>0.6</v>
      </c>
      <c r="F7" s="150">
        <v>0.7</v>
      </c>
      <c r="G7" s="25" t="s">
        <v>8</v>
      </c>
      <c r="H7" s="26"/>
      <c r="I7" s="27">
        <f t="shared" ref="I7:I8" si="1">I6*J7</f>
        <v>1390.2</v>
      </c>
      <c r="J7" s="28">
        <f t="shared" ref="J7:J8" si="2">E7</f>
        <v>0.6</v>
      </c>
      <c r="K7" s="29">
        <f t="shared" ref="K7:K8" si="3">I7+(I7*E9)</f>
        <v>1598.73</v>
      </c>
      <c r="L7" s="158">
        <f>K7/I6</f>
        <v>0.69</v>
      </c>
    </row>
    <row r="8">
      <c r="B8" s="30">
        <v>3.0</v>
      </c>
      <c r="C8" s="31" t="s">
        <v>9</v>
      </c>
      <c r="D8" s="11"/>
      <c r="E8" s="215">
        <v>1.0</v>
      </c>
      <c r="F8" s="135" t="s">
        <v>38</v>
      </c>
      <c r="G8" s="25" t="s">
        <v>10</v>
      </c>
      <c r="H8" s="26"/>
      <c r="I8" s="33">
        <f t="shared" si="1"/>
        <v>1390.2</v>
      </c>
      <c r="J8" s="34">
        <f t="shared" si="2"/>
        <v>1</v>
      </c>
      <c r="K8" s="35">
        <f t="shared" si="3"/>
        <v>1598.73</v>
      </c>
      <c r="L8" s="158">
        <f>K8/K7</f>
        <v>1</v>
      </c>
    </row>
    <row r="9">
      <c r="B9" s="36">
        <v>4.0</v>
      </c>
      <c r="C9" s="37" t="s">
        <v>11</v>
      </c>
      <c r="D9" s="11"/>
      <c r="E9" s="216">
        <v>0.15</v>
      </c>
      <c r="F9" s="128"/>
      <c r="G9" s="25" t="s">
        <v>12</v>
      </c>
      <c r="H9" s="26"/>
      <c r="I9" s="39">
        <f>E11</f>
        <v>72</v>
      </c>
      <c r="J9" s="40">
        <f>E12</f>
        <v>0.15</v>
      </c>
      <c r="K9" s="41">
        <f>I9+(I9*E12)</f>
        <v>82.8</v>
      </c>
      <c r="L9" s="157"/>
    </row>
    <row r="10">
      <c r="B10" s="42">
        <v>5.0</v>
      </c>
      <c r="C10" s="43" t="s">
        <v>13</v>
      </c>
      <c r="D10" s="11"/>
      <c r="E10" s="217">
        <v>0.15</v>
      </c>
      <c r="F10" s="128"/>
      <c r="G10" s="25" t="s">
        <v>14</v>
      </c>
      <c r="H10" s="26"/>
      <c r="I10" s="45">
        <f>E13</f>
        <v>8400</v>
      </c>
      <c r="J10" s="46">
        <f>E14</f>
        <v>0.2</v>
      </c>
      <c r="K10" s="47">
        <f>I10+(I10*J10)</f>
        <v>10080</v>
      </c>
      <c r="L10" s="157">
        <f>10080/3</f>
        <v>3360</v>
      </c>
    </row>
    <row r="11">
      <c r="B11" s="48">
        <v>6.0</v>
      </c>
      <c r="C11" s="49" t="s">
        <v>15</v>
      </c>
      <c r="D11" s="11"/>
      <c r="E11" s="50">
        <v>72.0</v>
      </c>
      <c r="F11" s="128"/>
      <c r="G11" s="25" t="s">
        <v>16</v>
      </c>
      <c r="H11" s="26"/>
      <c r="I11" s="45">
        <f>IFERROR(I7/E15,0)</f>
        <v>77.23333333</v>
      </c>
      <c r="J11" s="51"/>
      <c r="K11" s="47">
        <f>IFERROR(K7/K13,0)</f>
        <v>84.58888889</v>
      </c>
      <c r="L11" s="157"/>
    </row>
    <row r="12">
      <c r="B12" s="48">
        <v>7.0</v>
      </c>
      <c r="C12" s="49" t="s">
        <v>17</v>
      </c>
      <c r="D12" s="11"/>
      <c r="E12" s="52">
        <v>0.15</v>
      </c>
      <c r="F12" s="128"/>
      <c r="G12" s="25" t="s">
        <v>18</v>
      </c>
      <c r="H12" s="26"/>
      <c r="I12" s="53">
        <f>IFERROR(I10/I8,0)</f>
        <v>6.042296073</v>
      </c>
      <c r="J12" s="51"/>
      <c r="K12" s="54">
        <f>IFERROR(K10/K8,0)</f>
        <v>6.305004597</v>
      </c>
      <c r="L12" s="157"/>
    </row>
    <row r="13">
      <c r="B13" s="55">
        <v>8.0</v>
      </c>
      <c r="C13" s="56" t="s">
        <v>19</v>
      </c>
      <c r="D13" s="11"/>
      <c r="E13" s="57">
        <f>2800*3</f>
        <v>8400</v>
      </c>
      <c r="F13" s="143">
        <v>2568.0</v>
      </c>
      <c r="G13" s="25" t="s">
        <v>20</v>
      </c>
      <c r="H13" s="26"/>
      <c r="I13" s="218">
        <v>18.0</v>
      </c>
      <c r="J13" s="51"/>
      <c r="K13" s="47">
        <f>E15+(E15*E16)</f>
        <v>18.9</v>
      </c>
      <c r="L13" s="157"/>
    </row>
    <row r="14">
      <c r="B14" s="55">
        <v>9.0</v>
      </c>
      <c r="C14" s="56" t="s">
        <v>21</v>
      </c>
      <c r="D14" s="11"/>
      <c r="E14" s="60">
        <v>0.2</v>
      </c>
      <c r="F14" s="145"/>
      <c r="G14" s="25" t="s">
        <v>22</v>
      </c>
      <c r="H14" s="26"/>
      <c r="I14" s="45">
        <f>IFERROR(I10/E15,0)</f>
        <v>466.6666667</v>
      </c>
      <c r="J14" s="51"/>
      <c r="K14" s="47">
        <f>IFERROR(K10/K13,0)</f>
        <v>533.3333333</v>
      </c>
      <c r="L14" s="157"/>
    </row>
    <row r="15">
      <c r="B15" s="55">
        <v>10.0</v>
      </c>
      <c r="C15" s="56" t="s">
        <v>23</v>
      </c>
      <c r="D15" s="11"/>
      <c r="E15" s="57">
        <v>18.0</v>
      </c>
      <c r="F15" s="145"/>
      <c r="G15" s="25"/>
      <c r="H15" s="26"/>
      <c r="I15" s="59"/>
      <c r="J15" s="51"/>
      <c r="K15" s="146"/>
      <c r="L15" s="157"/>
    </row>
    <row r="16">
      <c r="B16" s="55">
        <v>11.0</v>
      </c>
      <c r="C16" s="56" t="s">
        <v>24</v>
      </c>
      <c r="D16" s="11"/>
      <c r="E16" s="60">
        <v>0.05</v>
      </c>
      <c r="F16" s="145"/>
      <c r="G16" s="208" t="s">
        <v>30</v>
      </c>
      <c r="H16" s="26"/>
      <c r="I16" s="209"/>
      <c r="J16" s="210"/>
      <c r="K16" s="211">
        <f>(K10*28)*E17</f>
        <v>42336</v>
      </c>
      <c r="L16" s="157"/>
    </row>
    <row r="17">
      <c r="B17" s="91">
        <v>12.0</v>
      </c>
      <c r="C17" s="92" t="s">
        <v>31</v>
      </c>
      <c r="D17" s="11"/>
      <c r="E17" s="93">
        <v>0.15</v>
      </c>
      <c r="F17" s="145"/>
      <c r="G17" s="208" t="s">
        <v>32</v>
      </c>
      <c r="H17" s="26"/>
      <c r="I17" s="209"/>
      <c r="J17" s="210"/>
      <c r="K17" s="211">
        <f>(K10*28)*E18</f>
        <v>2822.4</v>
      </c>
      <c r="L17" s="157"/>
    </row>
    <row r="18">
      <c r="B18" s="96"/>
      <c r="C18" s="92" t="s">
        <v>43</v>
      </c>
      <c r="D18" s="11"/>
      <c r="E18" s="93">
        <v>0.01</v>
      </c>
      <c r="F18" s="145"/>
      <c r="G18" s="62"/>
      <c r="H18" s="63"/>
      <c r="I18" s="64"/>
      <c r="J18" s="65"/>
      <c r="K18" s="66"/>
      <c r="L18" s="157"/>
    </row>
    <row r="19">
      <c r="E19" s="219"/>
      <c r="F19" s="129"/>
      <c r="G19" s="61"/>
      <c r="L19" s="157"/>
    </row>
    <row r="20">
      <c r="B20" s="67" t="s">
        <v>100</v>
      </c>
      <c r="L20" s="157"/>
    </row>
    <row r="21">
      <c r="L21" s="157"/>
    </row>
    <row r="22">
      <c r="B22" s="67"/>
      <c r="C22" s="67"/>
      <c r="D22" s="67"/>
      <c r="E22" s="220"/>
      <c r="F22" s="194"/>
      <c r="G22" s="67"/>
      <c r="H22" s="67"/>
      <c r="I22" s="67"/>
      <c r="J22" s="67"/>
      <c r="K22" s="67"/>
      <c r="L22" s="157"/>
    </row>
    <row r="23">
      <c r="E23" s="219"/>
      <c r="F23" s="129"/>
      <c r="G23" s="8"/>
      <c r="L23" s="157"/>
    </row>
    <row r="24">
      <c r="B24" s="161" t="s">
        <v>101</v>
      </c>
      <c r="C24" s="3"/>
      <c r="D24" s="3"/>
      <c r="E24" s="3"/>
      <c r="F24" s="3"/>
      <c r="G24" s="3"/>
      <c r="H24" s="3"/>
      <c r="I24" s="3"/>
      <c r="J24" s="3"/>
      <c r="K24" s="4"/>
      <c r="L24" s="157"/>
    </row>
    <row r="25">
      <c r="B25" s="5"/>
      <c r="C25" s="6"/>
      <c r="D25" s="6"/>
      <c r="E25" s="6"/>
      <c r="F25" s="6"/>
      <c r="G25" s="6"/>
      <c r="H25" s="6"/>
      <c r="I25" s="6"/>
      <c r="J25" s="6"/>
      <c r="K25" s="7"/>
      <c r="L25" s="157"/>
    </row>
    <row r="26">
      <c r="A26" s="171" t="s">
        <v>45</v>
      </c>
      <c r="B26" s="8"/>
      <c r="C26" s="8"/>
      <c r="D26" s="8"/>
      <c r="E26" s="68"/>
      <c r="F26" s="129"/>
      <c r="G26" s="8"/>
      <c r="L26" s="157"/>
    </row>
    <row r="27">
      <c r="B27" s="9" t="s">
        <v>26</v>
      </c>
      <c r="C27" s="10"/>
      <c r="D27" s="10"/>
      <c r="E27" s="11"/>
      <c r="F27" s="128"/>
      <c r="G27" s="72" t="s">
        <v>102</v>
      </c>
      <c r="H27" s="10"/>
      <c r="I27" s="12" t="s">
        <v>2</v>
      </c>
      <c r="J27" s="13" t="s">
        <v>3</v>
      </c>
      <c r="K27" s="14" t="s">
        <v>4</v>
      </c>
      <c r="L27" s="157"/>
    </row>
    <row r="28">
      <c r="B28" s="15">
        <v>1.0</v>
      </c>
      <c r="C28" s="16" t="s">
        <v>5</v>
      </c>
      <c r="D28" s="11"/>
      <c r="E28" s="15">
        <v>1410.0</v>
      </c>
      <c r="F28" s="128"/>
      <c r="G28" s="17" t="s">
        <v>6</v>
      </c>
      <c r="H28" s="18"/>
      <c r="I28" s="19">
        <f>E28</f>
        <v>1410</v>
      </c>
      <c r="J28" s="20"/>
      <c r="K28" s="21"/>
      <c r="L28" s="157"/>
    </row>
    <row r="29">
      <c r="B29" s="22">
        <v>2.0</v>
      </c>
      <c r="C29" s="23" t="s">
        <v>7</v>
      </c>
      <c r="D29" s="11"/>
      <c r="E29" s="214">
        <v>0.58</v>
      </c>
      <c r="F29" s="128"/>
      <c r="G29" s="25" t="s">
        <v>8</v>
      </c>
      <c r="H29" s="26"/>
      <c r="I29" s="27">
        <f t="shared" ref="I29:I30" si="4">I28*J29</f>
        <v>817.8</v>
      </c>
      <c r="J29" s="28">
        <f t="shared" ref="J29:J30" si="5">E29</f>
        <v>0.58</v>
      </c>
      <c r="K29" s="29">
        <f t="shared" ref="K29:K30" si="6">I29+(I29*E31)</f>
        <v>940.47</v>
      </c>
      <c r="L29" s="158">
        <f>K29/I28</f>
        <v>0.667</v>
      </c>
    </row>
    <row r="30">
      <c r="B30" s="30">
        <v>3.0</v>
      </c>
      <c r="C30" s="31" t="s">
        <v>9</v>
      </c>
      <c r="D30" s="11"/>
      <c r="E30" s="215">
        <v>1.0</v>
      </c>
      <c r="F30" s="128"/>
      <c r="G30" s="25" t="s">
        <v>10</v>
      </c>
      <c r="H30" s="26"/>
      <c r="I30" s="33">
        <f t="shared" si="4"/>
        <v>817.8</v>
      </c>
      <c r="J30" s="34">
        <f t="shared" si="5"/>
        <v>1</v>
      </c>
      <c r="K30" s="35">
        <f t="shared" si="6"/>
        <v>940.47</v>
      </c>
      <c r="L30" s="158">
        <f>K30/K29</f>
        <v>1</v>
      </c>
    </row>
    <row r="31">
      <c r="B31" s="36">
        <v>4.0</v>
      </c>
      <c r="C31" s="37" t="s">
        <v>11</v>
      </c>
      <c r="D31" s="11"/>
      <c r="E31" s="216">
        <v>0.15</v>
      </c>
      <c r="F31" s="128"/>
      <c r="G31" s="25" t="s">
        <v>12</v>
      </c>
      <c r="H31" s="26"/>
      <c r="I31" s="39">
        <f>E33</f>
        <v>70</v>
      </c>
      <c r="J31" s="40">
        <f>E34</f>
        <v>0.05</v>
      </c>
      <c r="K31" s="41">
        <f>I31+(I31*E34)</f>
        <v>73.5</v>
      </c>
      <c r="L31" s="157"/>
    </row>
    <row r="32">
      <c r="B32" s="42">
        <v>5.0</v>
      </c>
      <c r="C32" s="43" t="s">
        <v>13</v>
      </c>
      <c r="D32" s="11"/>
      <c r="E32" s="217">
        <v>0.15</v>
      </c>
      <c r="F32" s="128"/>
      <c r="G32" s="25" t="s">
        <v>14</v>
      </c>
      <c r="H32" s="26"/>
      <c r="I32" s="45">
        <f>E35</f>
        <v>850</v>
      </c>
      <c r="J32" s="46">
        <f>E36</f>
        <v>0.2</v>
      </c>
      <c r="K32" s="47">
        <f>I32+(I32*J32)</f>
        <v>1020</v>
      </c>
      <c r="L32" s="157">
        <f>I32*(20%+1)</f>
        <v>1020</v>
      </c>
    </row>
    <row r="33">
      <c r="B33" s="48">
        <v>6.0</v>
      </c>
      <c r="C33" s="49" t="s">
        <v>15</v>
      </c>
      <c r="D33" s="11"/>
      <c r="E33" s="50">
        <v>70.0</v>
      </c>
      <c r="F33" s="128"/>
      <c r="G33" s="25" t="s">
        <v>16</v>
      </c>
      <c r="H33" s="26"/>
      <c r="I33" s="45">
        <f>IFERROR(I29/E37,0)</f>
        <v>68.15</v>
      </c>
      <c r="J33" s="51"/>
      <c r="K33" s="47">
        <f>IFERROR(K29/K35,0)</f>
        <v>77.59653465</v>
      </c>
      <c r="L33" s="157"/>
    </row>
    <row r="34">
      <c r="B34" s="48">
        <v>7.0</v>
      </c>
      <c r="C34" s="49" t="s">
        <v>17</v>
      </c>
      <c r="D34" s="11"/>
      <c r="E34" s="48">
        <v>0.05</v>
      </c>
      <c r="F34" s="128"/>
      <c r="G34" s="25" t="s">
        <v>18</v>
      </c>
      <c r="H34" s="26"/>
      <c r="I34" s="53">
        <f>IFERROR(I32/I30,0)</f>
        <v>1.03937393</v>
      </c>
      <c r="J34" s="51"/>
      <c r="K34" s="54">
        <f>IFERROR(K32/K30,0)</f>
        <v>1.084564101</v>
      </c>
      <c r="L34" s="157"/>
    </row>
    <row r="35">
      <c r="B35" s="55">
        <v>8.0</v>
      </c>
      <c r="C35" s="56" t="s">
        <v>19</v>
      </c>
      <c r="D35" s="11"/>
      <c r="E35" s="57">
        <v>850.0</v>
      </c>
      <c r="F35" s="163"/>
      <c r="G35" s="25" t="s">
        <v>20</v>
      </c>
      <c r="H35" s="26"/>
      <c r="I35" s="59"/>
      <c r="J35" s="51"/>
      <c r="K35" s="47">
        <f>E37+(E37*E40)</f>
        <v>12.12</v>
      </c>
      <c r="L35" s="157"/>
    </row>
    <row r="36">
      <c r="B36" s="55">
        <v>9.0</v>
      </c>
      <c r="C36" s="56" t="s">
        <v>21</v>
      </c>
      <c r="D36" s="11"/>
      <c r="E36" s="60">
        <v>0.2</v>
      </c>
      <c r="F36" s="145"/>
      <c r="G36" s="25" t="s">
        <v>22</v>
      </c>
      <c r="H36" s="26"/>
      <c r="I36" s="45">
        <f>IFERROR(I32/E37,0)</f>
        <v>70.83333333</v>
      </c>
      <c r="J36" s="51"/>
      <c r="K36" s="47">
        <f>IFERROR(K32/K35,0)</f>
        <v>84.15841584</v>
      </c>
      <c r="L36" s="157"/>
    </row>
    <row r="37">
      <c r="B37" s="55">
        <v>10.0</v>
      </c>
      <c r="C37" s="56" t="s">
        <v>23</v>
      </c>
      <c r="D37" s="11"/>
      <c r="E37" s="57">
        <v>12.0</v>
      </c>
      <c r="F37" s="145"/>
      <c r="G37" s="25"/>
      <c r="H37" s="26"/>
      <c r="I37" s="59"/>
      <c r="J37" s="51"/>
      <c r="K37" s="146"/>
      <c r="L37" s="157"/>
    </row>
    <row r="38">
      <c r="B38" s="55">
        <v>11.0</v>
      </c>
      <c r="C38" s="56" t="s">
        <v>24</v>
      </c>
      <c r="D38" s="11"/>
      <c r="E38" s="60">
        <v>1.0</v>
      </c>
      <c r="F38" s="145"/>
      <c r="G38" s="208" t="s">
        <v>30</v>
      </c>
      <c r="H38" s="26"/>
      <c r="I38" s="209"/>
      <c r="J38" s="210"/>
      <c r="K38" s="211">
        <f>(K32*28)*E39</f>
        <v>0</v>
      </c>
      <c r="L38" s="157"/>
    </row>
    <row r="39">
      <c r="B39" s="91">
        <v>12.0</v>
      </c>
      <c r="C39" s="92" t="s">
        <v>31</v>
      </c>
      <c r="D39" s="11"/>
      <c r="E39" s="93">
        <v>0.0</v>
      </c>
      <c r="F39" s="145"/>
      <c r="G39" s="208" t="s">
        <v>32</v>
      </c>
      <c r="H39" s="26"/>
      <c r="I39" s="209"/>
      <c r="J39" s="210"/>
      <c r="K39" s="211">
        <f>(K32*28)*E40</f>
        <v>285.6</v>
      </c>
      <c r="L39" s="157"/>
    </row>
    <row r="40">
      <c r="B40" s="96"/>
      <c r="C40" s="92" t="s">
        <v>43</v>
      </c>
      <c r="D40" s="11"/>
      <c r="E40" s="93">
        <v>0.01</v>
      </c>
      <c r="F40" s="145"/>
      <c r="G40" s="62"/>
      <c r="H40" s="63"/>
      <c r="I40" s="64"/>
      <c r="J40" s="65"/>
      <c r="K40" s="66"/>
      <c r="L40" s="157"/>
    </row>
    <row r="41">
      <c r="E41" s="219"/>
      <c r="F41" s="129"/>
      <c r="G41" s="61"/>
      <c r="L41" s="157"/>
    </row>
    <row r="42">
      <c r="B42" s="67" t="s">
        <v>103</v>
      </c>
      <c r="L42" s="157"/>
    </row>
    <row r="43">
      <c r="L43" s="157"/>
    </row>
    <row r="44">
      <c r="E44" s="219"/>
      <c r="F44" s="129"/>
      <c r="G44" s="8"/>
      <c r="L44" s="157"/>
    </row>
    <row r="45">
      <c r="B45" s="2" t="s">
        <v>0</v>
      </c>
      <c r="C45" s="3"/>
      <c r="D45" s="3"/>
      <c r="E45" s="3"/>
      <c r="F45" s="3"/>
      <c r="G45" s="3"/>
      <c r="H45" s="3"/>
      <c r="I45" s="3"/>
      <c r="J45" s="3"/>
      <c r="K45" s="4"/>
      <c r="L45" s="157"/>
    </row>
    <row r="46">
      <c r="B46" s="5"/>
      <c r="C46" s="6"/>
      <c r="D46" s="6"/>
      <c r="E46" s="6"/>
      <c r="F46" s="6"/>
      <c r="G46" s="6"/>
      <c r="H46" s="6"/>
      <c r="I46" s="6"/>
      <c r="J46" s="6"/>
      <c r="K46" s="7"/>
      <c r="L46" s="157"/>
    </row>
    <row r="47">
      <c r="B47" s="8"/>
      <c r="C47" s="8"/>
      <c r="D47" s="8"/>
      <c r="E47" s="68"/>
      <c r="F47" s="129"/>
      <c r="G47" s="8"/>
      <c r="L47" s="157"/>
    </row>
    <row r="48">
      <c r="B48" s="9" t="s">
        <v>26</v>
      </c>
      <c r="C48" s="10"/>
      <c r="D48" s="10"/>
      <c r="E48" s="11"/>
      <c r="F48" s="128"/>
      <c r="G48" s="72" t="s">
        <v>104</v>
      </c>
      <c r="H48" s="10"/>
      <c r="I48" s="12" t="s">
        <v>2</v>
      </c>
      <c r="J48" s="13" t="s">
        <v>3</v>
      </c>
      <c r="K48" s="14" t="s">
        <v>4</v>
      </c>
      <c r="L48" s="157"/>
    </row>
    <row r="49">
      <c r="B49" s="15">
        <v>1.0</v>
      </c>
      <c r="C49" s="16" t="s">
        <v>5</v>
      </c>
      <c r="D49" s="11"/>
      <c r="E49" s="15">
        <v>682.0</v>
      </c>
      <c r="F49" s="128"/>
      <c r="G49" s="17" t="s">
        <v>6</v>
      </c>
      <c r="H49" s="18"/>
      <c r="I49" s="19">
        <f>E49</f>
        <v>682</v>
      </c>
      <c r="J49" s="20"/>
      <c r="K49" s="21"/>
      <c r="L49" s="158"/>
    </row>
    <row r="50">
      <c r="B50" s="22">
        <v>2.0</v>
      </c>
      <c r="C50" s="23" t="s">
        <v>7</v>
      </c>
      <c r="D50" s="11"/>
      <c r="E50" s="214">
        <v>0.51</v>
      </c>
      <c r="F50" s="150">
        <v>0.5</v>
      </c>
      <c r="G50" s="25" t="s">
        <v>8</v>
      </c>
      <c r="H50" s="26"/>
      <c r="I50" s="27">
        <f t="shared" ref="I50:I51" si="7">I49*J50</f>
        <v>347.82</v>
      </c>
      <c r="J50" s="28">
        <f t="shared" ref="J50:J51" si="8">E50</f>
        <v>0.51</v>
      </c>
      <c r="K50" s="29">
        <f t="shared" ref="K50:K51" si="9">I50+(I50*E52)</f>
        <v>417.384</v>
      </c>
      <c r="L50" s="158">
        <f>K50/I49</f>
        <v>0.612</v>
      </c>
    </row>
    <row r="51">
      <c r="B51" s="30">
        <v>3.0</v>
      </c>
      <c r="C51" s="31" t="s">
        <v>9</v>
      </c>
      <c r="D51" s="11"/>
      <c r="E51" s="215">
        <v>0.4</v>
      </c>
      <c r="F51" s="154" t="s">
        <v>38</v>
      </c>
      <c r="G51" s="25" t="s">
        <v>10</v>
      </c>
      <c r="H51" s="26"/>
      <c r="I51" s="33">
        <f t="shared" si="7"/>
        <v>139.128</v>
      </c>
      <c r="J51" s="34">
        <f t="shared" si="8"/>
        <v>0.4</v>
      </c>
      <c r="K51" s="35">
        <f t="shared" si="9"/>
        <v>208.692</v>
      </c>
      <c r="L51" s="158">
        <f>K51/K50</f>
        <v>0.5</v>
      </c>
    </row>
    <row r="52">
      <c r="B52" s="36">
        <v>4.0</v>
      </c>
      <c r="C52" s="37" t="s">
        <v>11</v>
      </c>
      <c r="D52" s="11"/>
      <c r="E52" s="216">
        <v>0.2</v>
      </c>
      <c r="F52" s="128"/>
      <c r="G52" s="25" t="s">
        <v>12</v>
      </c>
      <c r="H52" s="26"/>
      <c r="I52" s="39">
        <f>E54</f>
        <v>60</v>
      </c>
      <c r="J52" s="40">
        <f>E55</f>
        <v>0.2</v>
      </c>
      <c r="K52" s="41">
        <f>I52+(I52*E55)</f>
        <v>72</v>
      </c>
      <c r="L52" s="157"/>
    </row>
    <row r="53">
      <c r="B53" s="42">
        <v>5.0</v>
      </c>
      <c r="C53" s="43" t="s">
        <v>13</v>
      </c>
      <c r="D53" s="11"/>
      <c r="E53" s="217">
        <v>0.5</v>
      </c>
      <c r="F53" s="128"/>
      <c r="G53" s="25" t="s">
        <v>14</v>
      </c>
      <c r="H53" s="26"/>
      <c r="I53" s="45">
        <f>E56</f>
        <v>2250</v>
      </c>
      <c r="J53" s="46">
        <f>E57</f>
        <v>0.2</v>
      </c>
      <c r="K53" s="47">
        <f>I53+(I53*J53)</f>
        <v>2700</v>
      </c>
      <c r="L53" s="157">
        <f>K53/3</f>
        <v>900</v>
      </c>
    </row>
    <row r="54">
      <c r="B54" s="48">
        <v>6.0</v>
      </c>
      <c r="C54" s="49" t="s">
        <v>15</v>
      </c>
      <c r="D54" s="11"/>
      <c r="E54" s="50">
        <v>60.0</v>
      </c>
      <c r="F54" s="128"/>
      <c r="G54" s="25" t="s">
        <v>16</v>
      </c>
      <c r="H54" s="26"/>
      <c r="I54" s="45">
        <f>IFERROR(I50/E58,0)</f>
        <v>57.97</v>
      </c>
      <c r="J54" s="51"/>
      <c r="K54" s="47">
        <f>IFERROR(K50/K56,0)</f>
        <v>34.782</v>
      </c>
      <c r="L54" s="157"/>
    </row>
    <row r="55">
      <c r="B55" s="48">
        <v>7.0</v>
      </c>
      <c r="C55" s="49" t="s">
        <v>17</v>
      </c>
      <c r="D55" s="11"/>
      <c r="E55" s="52">
        <v>0.2</v>
      </c>
      <c r="F55" s="128"/>
      <c r="G55" s="25" t="s">
        <v>18</v>
      </c>
      <c r="H55" s="26"/>
      <c r="I55" s="53">
        <f>IFERROR(I53/I51,0)</f>
        <v>16.17215801</v>
      </c>
      <c r="J55" s="51"/>
      <c r="K55" s="54">
        <f>IFERROR(K53/K51,0)</f>
        <v>12.93772641</v>
      </c>
      <c r="L55" s="157"/>
    </row>
    <row r="56">
      <c r="B56" s="55">
        <v>8.0</v>
      </c>
      <c r="C56" s="56" t="s">
        <v>19</v>
      </c>
      <c r="D56" s="11"/>
      <c r="E56" s="57">
        <f>750*3</f>
        <v>2250</v>
      </c>
      <c r="F56" s="143">
        <v>698.0</v>
      </c>
      <c r="G56" s="25" t="s">
        <v>20</v>
      </c>
      <c r="H56" s="26"/>
      <c r="I56" s="59"/>
      <c r="J56" s="51"/>
      <c r="K56" s="47">
        <f>E58+(E58*E59)</f>
        <v>12</v>
      </c>
      <c r="L56" s="157"/>
    </row>
    <row r="57">
      <c r="B57" s="55">
        <v>9.0</v>
      </c>
      <c r="C57" s="56" t="s">
        <v>21</v>
      </c>
      <c r="D57" s="11"/>
      <c r="E57" s="60">
        <v>0.2</v>
      </c>
      <c r="F57" s="145"/>
      <c r="G57" s="25" t="s">
        <v>22</v>
      </c>
      <c r="H57" s="26"/>
      <c r="I57" s="45">
        <f>IFERROR(I53/E58,0)</f>
        <v>375</v>
      </c>
      <c r="J57" s="51"/>
      <c r="K57" s="47">
        <f>IFERROR(K53/K56,0)</f>
        <v>225</v>
      </c>
      <c r="L57" s="157"/>
    </row>
    <row r="58">
      <c r="B58" s="55">
        <v>10.0</v>
      </c>
      <c r="C58" s="56" t="s">
        <v>23</v>
      </c>
      <c r="D58" s="11"/>
      <c r="E58" s="57">
        <v>6.0</v>
      </c>
      <c r="F58" s="145"/>
      <c r="G58" s="25"/>
      <c r="H58" s="26"/>
      <c r="I58" s="59"/>
      <c r="J58" s="51"/>
      <c r="K58" s="146"/>
      <c r="L58" s="157"/>
    </row>
    <row r="59">
      <c r="B59" s="55">
        <v>11.0</v>
      </c>
      <c r="C59" s="56" t="s">
        <v>24</v>
      </c>
      <c r="D59" s="11"/>
      <c r="E59" s="60">
        <v>1.0</v>
      </c>
      <c r="F59" s="129"/>
      <c r="G59" s="208" t="s">
        <v>30</v>
      </c>
      <c r="H59" s="26"/>
      <c r="I59" s="209"/>
      <c r="J59" s="210"/>
      <c r="K59" s="211">
        <f>(K53*28)*E60</f>
        <v>18900</v>
      </c>
      <c r="L59" s="157"/>
    </row>
    <row r="60">
      <c r="B60" s="91">
        <v>12.0</v>
      </c>
      <c r="C60" s="92" t="s">
        <v>31</v>
      </c>
      <c r="D60" s="11"/>
      <c r="E60" s="93">
        <v>0.25</v>
      </c>
      <c r="F60" s="129"/>
      <c r="G60" s="208" t="s">
        <v>32</v>
      </c>
      <c r="H60" s="26"/>
      <c r="I60" s="209"/>
      <c r="J60" s="210"/>
      <c r="K60" s="211">
        <f>(K53*28)*E61</f>
        <v>756</v>
      </c>
      <c r="L60" s="157"/>
    </row>
    <row r="61">
      <c r="B61" s="96"/>
      <c r="C61" s="92" t="s">
        <v>43</v>
      </c>
      <c r="D61" s="11"/>
      <c r="E61" s="93">
        <v>0.01</v>
      </c>
      <c r="F61" s="129"/>
      <c r="G61" s="62"/>
      <c r="H61" s="63"/>
      <c r="I61" s="64"/>
      <c r="J61" s="65"/>
      <c r="K61" s="66"/>
      <c r="L61" s="157"/>
    </row>
    <row r="62">
      <c r="B62" s="67" t="s">
        <v>105</v>
      </c>
      <c r="L62" s="157"/>
    </row>
    <row r="63">
      <c r="L63" s="157"/>
    </row>
    <row r="64">
      <c r="B64" s="221"/>
      <c r="C64" s="221"/>
      <c r="D64" s="221"/>
      <c r="E64" s="222"/>
      <c r="F64" s="223"/>
      <c r="G64" s="221"/>
      <c r="H64" s="221"/>
      <c r="I64" s="221"/>
      <c r="J64" s="221"/>
      <c r="K64" s="221"/>
      <c r="L64" s="157"/>
    </row>
    <row r="65">
      <c r="B65" s="173" t="s">
        <v>0</v>
      </c>
      <c r="C65" s="3"/>
      <c r="D65" s="3"/>
      <c r="E65" s="3"/>
      <c r="F65" s="3"/>
      <c r="G65" s="3"/>
      <c r="H65" s="3"/>
      <c r="I65" s="3"/>
      <c r="J65" s="3"/>
      <c r="K65" s="4"/>
      <c r="L65" s="157"/>
    </row>
    <row r="66">
      <c r="B66" s="5"/>
      <c r="C66" s="6"/>
      <c r="D66" s="6"/>
      <c r="E66" s="6"/>
      <c r="F66" s="6"/>
      <c r="G66" s="6"/>
      <c r="H66" s="6"/>
      <c r="I66" s="6"/>
      <c r="J66" s="6"/>
      <c r="K66" s="7"/>
      <c r="L66" s="157"/>
    </row>
    <row r="67">
      <c r="B67" s="221"/>
      <c r="C67" s="221"/>
      <c r="D67" s="221"/>
      <c r="E67" s="222"/>
      <c r="F67" s="223"/>
      <c r="G67" s="221"/>
      <c r="H67" s="221"/>
      <c r="I67" s="221"/>
      <c r="J67" s="221"/>
      <c r="K67" s="221"/>
      <c r="L67" s="157"/>
    </row>
    <row r="68">
      <c r="B68" s="224" t="s">
        <v>26</v>
      </c>
      <c r="C68" s="10"/>
      <c r="D68" s="10"/>
      <c r="E68" s="11"/>
      <c r="F68" s="223"/>
      <c r="G68" s="72" t="s">
        <v>106</v>
      </c>
      <c r="H68" s="10"/>
      <c r="I68" s="225" t="s">
        <v>2</v>
      </c>
      <c r="J68" s="226" t="s">
        <v>3</v>
      </c>
      <c r="K68" s="227" t="s">
        <v>4</v>
      </c>
      <c r="L68" s="157"/>
    </row>
    <row r="69">
      <c r="B69" s="228">
        <v>1.0</v>
      </c>
      <c r="C69" s="229" t="s">
        <v>5</v>
      </c>
      <c r="D69" s="11"/>
      <c r="E69" s="15">
        <v>920.0</v>
      </c>
      <c r="F69" s="223"/>
      <c r="G69" s="230" t="s">
        <v>6</v>
      </c>
      <c r="H69" s="18"/>
      <c r="I69" s="231">
        <f>E69</f>
        <v>920</v>
      </c>
      <c r="J69" s="232"/>
      <c r="K69" s="233"/>
      <c r="L69" s="157"/>
    </row>
    <row r="70">
      <c r="B70" s="234">
        <v>2.0</v>
      </c>
      <c r="C70" s="235" t="s">
        <v>7</v>
      </c>
      <c r="D70" s="11"/>
      <c r="E70" s="214">
        <v>0.44</v>
      </c>
      <c r="F70" s="236">
        <v>0.85</v>
      </c>
      <c r="G70" s="237" t="s">
        <v>8</v>
      </c>
      <c r="H70" s="26"/>
      <c r="I70" s="238">
        <f t="shared" ref="I70:I71" si="10">I69*J70</f>
        <v>404.8</v>
      </c>
      <c r="J70" s="239">
        <f t="shared" ref="J70:J71" si="11">E70</f>
        <v>0.44</v>
      </c>
      <c r="K70" s="240">
        <f t="shared" ref="K70:K71" si="12">I70+(I70*E72)</f>
        <v>688.16</v>
      </c>
      <c r="L70" s="158">
        <f>K70/I69</f>
        <v>0.748</v>
      </c>
    </row>
    <row r="71">
      <c r="B71" s="241">
        <v>3.0</v>
      </c>
      <c r="C71" s="242" t="s">
        <v>9</v>
      </c>
      <c r="D71" s="11"/>
      <c r="E71" s="215">
        <v>1.0</v>
      </c>
      <c r="F71" s="243" t="s">
        <v>38</v>
      </c>
      <c r="G71" s="237" t="s">
        <v>10</v>
      </c>
      <c r="H71" s="26"/>
      <c r="I71" s="244">
        <f t="shared" si="10"/>
        <v>404.8</v>
      </c>
      <c r="J71" s="245">
        <f t="shared" si="11"/>
        <v>1</v>
      </c>
      <c r="K71" s="35">
        <f t="shared" si="12"/>
        <v>465.52</v>
      </c>
      <c r="L71" s="158">
        <f>K71/K70</f>
        <v>0.6764705882</v>
      </c>
    </row>
    <row r="72">
      <c r="B72" s="246">
        <v>4.0</v>
      </c>
      <c r="C72" s="247" t="s">
        <v>11</v>
      </c>
      <c r="D72" s="11"/>
      <c r="E72" s="216">
        <v>0.7</v>
      </c>
      <c r="F72" s="223"/>
      <c r="G72" s="237" t="s">
        <v>12</v>
      </c>
      <c r="H72" s="26"/>
      <c r="I72" s="248">
        <f>E74</f>
        <v>60</v>
      </c>
      <c r="J72" s="249">
        <f>E75</f>
        <v>0.17</v>
      </c>
      <c r="K72" s="41">
        <f>I72+(I72*E75)</f>
        <v>70.2</v>
      </c>
      <c r="L72" s="157"/>
    </row>
    <row r="73">
      <c r="B73" s="250">
        <v>5.0</v>
      </c>
      <c r="C73" s="251" t="s">
        <v>13</v>
      </c>
      <c r="D73" s="11"/>
      <c r="E73" s="217">
        <v>0.15</v>
      </c>
      <c r="F73" s="223"/>
      <c r="G73" s="237" t="s">
        <v>14</v>
      </c>
      <c r="H73" s="26"/>
      <c r="I73" s="252">
        <f>E76</f>
        <v>2250</v>
      </c>
      <c r="J73" s="253">
        <f>E77</f>
        <v>0.2</v>
      </c>
      <c r="K73" s="254">
        <f>I73+(I73*J73)</f>
        <v>2700</v>
      </c>
      <c r="L73" s="157">
        <f>K73/3</f>
        <v>900</v>
      </c>
    </row>
    <row r="74">
      <c r="B74" s="255">
        <v>6.0</v>
      </c>
      <c r="C74" s="256" t="s">
        <v>15</v>
      </c>
      <c r="D74" s="11"/>
      <c r="E74" s="50">
        <v>60.0</v>
      </c>
      <c r="F74" s="223"/>
      <c r="G74" s="237" t="s">
        <v>16</v>
      </c>
      <c r="H74" s="26"/>
      <c r="I74" s="257">
        <f>IFERROR(I70/E80,0)</f>
        <v>2248.888889</v>
      </c>
      <c r="J74" s="258"/>
      <c r="K74" s="47">
        <f>IFERROR(K70/K76,0)</f>
        <v>50.97481481</v>
      </c>
      <c r="L74" s="157"/>
    </row>
    <row r="75">
      <c r="B75" s="255">
        <v>7.0</v>
      </c>
      <c r="C75" s="256" t="s">
        <v>17</v>
      </c>
      <c r="D75" s="11"/>
      <c r="E75" s="52">
        <v>0.17</v>
      </c>
      <c r="F75" s="223"/>
      <c r="G75" s="237" t="s">
        <v>18</v>
      </c>
      <c r="H75" s="26"/>
      <c r="I75" s="259">
        <f>IFERROR(I73/I71,0)</f>
        <v>5.558300395</v>
      </c>
      <c r="J75" s="258"/>
      <c r="K75" s="260">
        <f>IFERROR(K73/K71,0)</f>
        <v>5.79996563</v>
      </c>
      <c r="L75" s="157"/>
    </row>
    <row r="76">
      <c r="B76" s="261">
        <v>8.0</v>
      </c>
      <c r="C76" s="262" t="s">
        <v>19</v>
      </c>
      <c r="D76" s="11"/>
      <c r="E76" s="57">
        <f>750*3</f>
        <v>2250</v>
      </c>
      <c r="F76" s="263">
        <v>738.0</v>
      </c>
      <c r="G76" s="237" t="s">
        <v>20</v>
      </c>
      <c r="H76" s="26"/>
      <c r="I76" s="264"/>
      <c r="J76" s="258"/>
      <c r="K76" s="47">
        <f>E78+(E78*E79)</f>
        <v>13.5</v>
      </c>
      <c r="L76" s="157"/>
    </row>
    <row r="77">
      <c r="B77" s="261">
        <v>9.0</v>
      </c>
      <c r="C77" s="262" t="s">
        <v>21</v>
      </c>
      <c r="D77" s="11"/>
      <c r="E77" s="60">
        <v>0.2</v>
      </c>
      <c r="F77" s="265"/>
      <c r="G77" s="237" t="s">
        <v>22</v>
      </c>
      <c r="H77" s="26"/>
      <c r="I77" s="257">
        <f>IFERROR(I73/E80,0)</f>
        <v>12500</v>
      </c>
      <c r="J77" s="258"/>
      <c r="K77" s="254">
        <f>IFERROR(K73/K76,0)</f>
        <v>200</v>
      </c>
      <c r="L77" s="157"/>
    </row>
    <row r="78">
      <c r="B78" s="261">
        <v>10.0</v>
      </c>
      <c r="C78" s="262" t="s">
        <v>23</v>
      </c>
      <c r="D78" s="11"/>
      <c r="E78" s="57">
        <v>9.0</v>
      </c>
      <c r="F78" s="265"/>
      <c r="G78" s="25"/>
      <c r="H78" s="26"/>
      <c r="I78" s="59"/>
      <c r="J78" s="51"/>
      <c r="K78" s="146"/>
      <c r="L78" s="157"/>
    </row>
    <row r="79">
      <c r="B79" s="55">
        <v>11.0</v>
      </c>
      <c r="C79" s="56" t="s">
        <v>24</v>
      </c>
      <c r="D79" s="11"/>
      <c r="E79" s="60">
        <v>0.5</v>
      </c>
      <c r="F79" s="265"/>
      <c r="G79" s="208" t="s">
        <v>30</v>
      </c>
      <c r="H79" s="26"/>
      <c r="I79" s="209"/>
      <c r="J79" s="210"/>
      <c r="K79" s="211">
        <f>(K73*28)*E80</f>
        <v>13608</v>
      </c>
      <c r="L79" s="157"/>
    </row>
    <row r="80">
      <c r="B80" s="91">
        <v>12.0</v>
      </c>
      <c r="C80" s="92" t="s">
        <v>31</v>
      </c>
      <c r="D80" s="11"/>
      <c r="E80" s="93">
        <v>0.18</v>
      </c>
      <c r="F80" s="265"/>
      <c r="G80" s="208" t="s">
        <v>32</v>
      </c>
      <c r="H80" s="26"/>
      <c r="I80" s="209"/>
      <c r="J80" s="210"/>
      <c r="K80" s="211">
        <f>(K73*28)*E81</f>
        <v>756</v>
      </c>
      <c r="L80" s="157"/>
    </row>
    <row r="81">
      <c r="B81" s="96"/>
      <c r="C81" s="92" t="s">
        <v>43</v>
      </c>
      <c r="D81" s="11"/>
      <c r="E81" s="93">
        <v>0.01</v>
      </c>
      <c r="F81" s="129"/>
      <c r="G81" s="266"/>
      <c r="H81" s="63"/>
      <c r="I81" s="267"/>
      <c r="J81" s="268"/>
      <c r="K81" s="269"/>
      <c r="L81" s="157"/>
    </row>
    <row r="82">
      <c r="B82" s="8"/>
      <c r="C82" s="8"/>
      <c r="D82" s="8"/>
      <c r="E82" s="68"/>
      <c r="F82" s="129"/>
      <c r="G82" s="8"/>
      <c r="L82" s="157"/>
    </row>
    <row r="83">
      <c r="B83" s="67" t="s">
        <v>107</v>
      </c>
      <c r="L83" s="157"/>
    </row>
    <row r="84">
      <c r="L84" s="157"/>
    </row>
    <row r="85">
      <c r="B85" s="8"/>
      <c r="C85" s="8"/>
      <c r="D85" s="8"/>
      <c r="E85" s="68"/>
      <c r="F85" s="129"/>
      <c r="G85" s="8"/>
      <c r="L85" s="157"/>
    </row>
    <row r="86">
      <c r="B86" s="8"/>
      <c r="C86" s="8"/>
      <c r="D86" s="8"/>
      <c r="E86" s="68"/>
      <c r="F86" s="129"/>
      <c r="G86" s="8"/>
      <c r="L86" s="157"/>
    </row>
    <row r="87">
      <c r="B87" s="173" t="s">
        <v>0</v>
      </c>
      <c r="C87" s="3"/>
      <c r="D87" s="3"/>
      <c r="E87" s="3"/>
      <c r="F87" s="3"/>
      <c r="G87" s="3"/>
      <c r="H87" s="3"/>
      <c r="I87" s="3"/>
      <c r="J87" s="3"/>
      <c r="K87" s="4"/>
      <c r="L87" s="157"/>
    </row>
    <row r="88">
      <c r="B88" s="5"/>
      <c r="C88" s="6"/>
      <c r="D88" s="6"/>
      <c r="E88" s="6"/>
      <c r="F88" s="6"/>
      <c r="G88" s="6"/>
      <c r="H88" s="6"/>
      <c r="I88" s="6"/>
      <c r="J88" s="6"/>
      <c r="K88" s="7"/>
      <c r="L88" s="157"/>
    </row>
    <row r="89">
      <c r="B89" s="221"/>
      <c r="C89" s="221"/>
      <c r="D89" s="221"/>
      <c r="E89" s="222"/>
      <c r="F89" s="223"/>
      <c r="G89" s="221"/>
      <c r="H89" s="221"/>
      <c r="I89" s="221"/>
      <c r="J89" s="221"/>
      <c r="K89" s="221"/>
      <c r="L89" s="157"/>
    </row>
    <row r="90">
      <c r="B90" s="270" t="s">
        <v>108</v>
      </c>
      <c r="C90" s="10"/>
      <c r="D90" s="10"/>
      <c r="E90" s="11"/>
      <c r="F90" s="223"/>
      <c r="G90" s="72" t="s">
        <v>109</v>
      </c>
      <c r="H90" s="10"/>
      <c r="I90" s="225" t="s">
        <v>2</v>
      </c>
      <c r="J90" s="226" t="s">
        <v>3</v>
      </c>
      <c r="K90" s="227" t="s">
        <v>4</v>
      </c>
      <c r="L90" s="157"/>
    </row>
    <row r="91">
      <c r="B91" s="228">
        <v>1.0</v>
      </c>
      <c r="C91" s="229" t="s">
        <v>5</v>
      </c>
      <c r="D91" s="11"/>
      <c r="E91" s="15">
        <v>0.0</v>
      </c>
      <c r="F91" s="223"/>
      <c r="G91" s="230" t="s">
        <v>6</v>
      </c>
      <c r="H91" s="18"/>
      <c r="I91" s="231">
        <f>E91</f>
        <v>0</v>
      </c>
      <c r="J91" s="232"/>
      <c r="K91" s="233"/>
      <c r="L91" s="157"/>
    </row>
    <row r="92">
      <c r="B92" s="234">
        <v>2.0</v>
      </c>
      <c r="C92" s="235" t="s">
        <v>7</v>
      </c>
      <c r="D92" s="11"/>
      <c r="E92" s="214">
        <v>0.0</v>
      </c>
      <c r="F92" s="223"/>
      <c r="G92" s="237" t="s">
        <v>8</v>
      </c>
      <c r="H92" s="26"/>
      <c r="I92" s="238">
        <f t="shared" ref="I92:I93" si="13">I91*J92</f>
        <v>0</v>
      </c>
      <c r="J92" s="239">
        <f t="shared" ref="J92:J93" si="14">E92</f>
        <v>0</v>
      </c>
      <c r="K92" s="240">
        <f t="shared" ref="K92:K93" si="15">I92+(I92*E94)</f>
        <v>0</v>
      </c>
      <c r="L92" s="158"/>
    </row>
    <row r="93">
      <c r="B93" s="241">
        <v>3.0</v>
      </c>
      <c r="C93" s="242" t="s">
        <v>9</v>
      </c>
      <c r="D93" s="11"/>
      <c r="E93" s="215">
        <v>0.0</v>
      </c>
      <c r="F93" s="223"/>
      <c r="G93" s="237" t="s">
        <v>10</v>
      </c>
      <c r="H93" s="26"/>
      <c r="I93" s="244">
        <f t="shared" si="13"/>
        <v>0</v>
      </c>
      <c r="J93" s="245">
        <f t="shared" si="14"/>
        <v>0</v>
      </c>
      <c r="K93" s="35">
        <f t="shared" si="15"/>
        <v>0</v>
      </c>
      <c r="L93" s="158"/>
    </row>
    <row r="94">
      <c r="B94" s="246">
        <v>4.0</v>
      </c>
      <c r="C94" s="247" t="s">
        <v>11</v>
      </c>
      <c r="D94" s="11"/>
      <c r="E94" s="216">
        <v>0.0</v>
      </c>
      <c r="F94" s="223"/>
      <c r="G94" s="237" t="s">
        <v>12</v>
      </c>
      <c r="H94" s="26"/>
      <c r="I94" s="248">
        <f>E96</f>
        <v>0</v>
      </c>
      <c r="J94" s="249">
        <f>E97</f>
        <v>0</v>
      </c>
      <c r="K94" s="41">
        <f>I94+(I94*E97)</f>
        <v>0</v>
      </c>
      <c r="L94" s="157"/>
    </row>
    <row r="95">
      <c r="B95" s="250">
        <v>5.0</v>
      </c>
      <c r="C95" s="251" t="s">
        <v>13</v>
      </c>
      <c r="D95" s="11"/>
      <c r="E95" s="217">
        <v>0.0</v>
      </c>
      <c r="F95" s="223"/>
      <c r="G95" s="237" t="s">
        <v>14</v>
      </c>
      <c r="H95" s="26"/>
      <c r="I95" s="252">
        <f>E98</f>
        <v>0</v>
      </c>
      <c r="J95" s="253">
        <f>E99</f>
        <v>0</v>
      </c>
      <c r="K95" s="254">
        <f>I95+(I95*J95)</f>
        <v>0</v>
      </c>
      <c r="L95" s="157"/>
    </row>
    <row r="96">
      <c r="B96" s="255">
        <v>6.0</v>
      </c>
      <c r="C96" s="256" t="s">
        <v>15</v>
      </c>
      <c r="D96" s="11"/>
      <c r="E96" s="50">
        <v>0.0</v>
      </c>
      <c r="F96" s="223"/>
      <c r="G96" s="237" t="s">
        <v>16</v>
      </c>
      <c r="H96" s="26"/>
      <c r="I96" s="257">
        <f>IFERROR(I92/E102,0)</f>
        <v>0</v>
      </c>
      <c r="J96" s="258"/>
      <c r="K96" s="47">
        <f>IFERROR(K92/K98,0)</f>
        <v>0</v>
      </c>
      <c r="L96" s="157"/>
    </row>
    <row r="97">
      <c r="B97" s="255">
        <v>7.0</v>
      </c>
      <c r="C97" s="256" t="s">
        <v>17</v>
      </c>
      <c r="D97" s="11"/>
      <c r="E97" s="52">
        <v>0.0</v>
      </c>
      <c r="F97" s="223"/>
      <c r="G97" s="237" t="s">
        <v>18</v>
      </c>
      <c r="H97" s="26"/>
      <c r="I97" s="259">
        <f>IFERROR(I95/I93,0)</f>
        <v>0</v>
      </c>
      <c r="J97" s="258"/>
      <c r="K97" s="260">
        <f>IFERROR(K95/K93,0)</f>
        <v>0</v>
      </c>
      <c r="L97" s="157"/>
    </row>
    <row r="98">
      <c r="B98" s="261">
        <v>8.0</v>
      </c>
      <c r="C98" s="262" t="s">
        <v>19</v>
      </c>
      <c r="D98" s="11"/>
      <c r="E98" s="57">
        <v>0.0</v>
      </c>
      <c r="F98" s="271"/>
      <c r="G98" s="237" t="s">
        <v>20</v>
      </c>
      <c r="H98" s="26"/>
      <c r="I98" s="264"/>
      <c r="J98" s="258"/>
      <c r="K98" s="47">
        <f>E100+(E100*E101)</f>
        <v>0</v>
      </c>
      <c r="L98" s="157"/>
    </row>
    <row r="99">
      <c r="B99" s="261">
        <v>9.0</v>
      </c>
      <c r="C99" s="262" t="s">
        <v>21</v>
      </c>
      <c r="D99" s="11"/>
      <c r="E99" s="60">
        <v>0.0</v>
      </c>
      <c r="F99" s="265"/>
      <c r="G99" s="237" t="s">
        <v>22</v>
      </c>
      <c r="H99" s="26"/>
      <c r="I99" s="257">
        <f>IFERROR(I95/E102,0)</f>
        <v>0</v>
      </c>
      <c r="J99" s="258"/>
      <c r="K99" s="254">
        <f>IFERROR(K95/K98,0)</f>
        <v>0</v>
      </c>
      <c r="L99" s="157"/>
    </row>
    <row r="100">
      <c r="B100" s="261">
        <v>10.0</v>
      </c>
      <c r="C100" s="262" t="s">
        <v>23</v>
      </c>
      <c r="D100" s="11"/>
      <c r="E100" s="57">
        <v>0.0</v>
      </c>
      <c r="F100" s="265"/>
      <c r="G100" s="25"/>
      <c r="H100" s="26"/>
      <c r="I100" s="59"/>
      <c r="J100" s="51"/>
      <c r="K100" s="146"/>
      <c r="L100" s="157"/>
    </row>
    <row r="101">
      <c r="B101" s="55">
        <v>11.0</v>
      </c>
      <c r="C101" s="56" t="s">
        <v>24</v>
      </c>
      <c r="D101" s="11"/>
      <c r="E101" s="60">
        <v>0.0</v>
      </c>
      <c r="F101" s="265"/>
      <c r="G101" s="208" t="s">
        <v>30</v>
      </c>
      <c r="H101" s="26"/>
      <c r="I101" s="209"/>
      <c r="J101" s="210"/>
      <c r="K101" s="211">
        <f>(K95*28)*E102+(K95*28)*E103</f>
        <v>0</v>
      </c>
      <c r="L101" s="157"/>
    </row>
    <row r="102">
      <c r="B102" s="91">
        <v>12.0</v>
      </c>
      <c r="C102" s="92" t="s">
        <v>31</v>
      </c>
      <c r="D102" s="11"/>
      <c r="E102" s="93">
        <v>0.0</v>
      </c>
      <c r="F102" s="265"/>
      <c r="G102" s="25"/>
      <c r="H102" s="26"/>
      <c r="I102" s="59"/>
      <c r="J102" s="51"/>
      <c r="K102" s="146"/>
      <c r="L102" s="157"/>
    </row>
    <row r="103">
      <c r="B103" s="96"/>
      <c r="C103" s="92" t="s">
        <v>43</v>
      </c>
      <c r="D103" s="11"/>
      <c r="E103" s="93">
        <v>0.0</v>
      </c>
      <c r="F103" s="129"/>
      <c r="G103" s="266"/>
      <c r="H103" s="63"/>
      <c r="I103" s="267"/>
      <c r="J103" s="268"/>
      <c r="K103" s="269"/>
      <c r="L103" s="157"/>
    </row>
    <row r="104">
      <c r="B104" s="8"/>
      <c r="C104" s="8"/>
      <c r="D104" s="8"/>
      <c r="E104" s="68"/>
      <c r="F104" s="129"/>
      <c r="G104" s="8"/>
      <c r="L104" s="157"/>
    </row>
    <row r="105">
      <c r="B105" s="67" t="s">
        <v>110</v>
      </c>
      <c r="L105" s="157"/>
    </row>
    <row r="106">
      <c r="L106" s="157"/>
    </row>
    <row r="107">
      <c r="B107" s="8"/>
      <c r="C107" s="8"/>
      <c r="D107" s="8"/>
      <c r="E107" s="68"/>
      <c r="F107" s="129"/>
      <c r="G107" s="8"/>
      <c r="L107" s="157"/>
    </row>
    <row r="108">
      <c r="A108" s="272"/>
      <c r="B108" s="273"/>
      <c r="C108" s="274"/>
      <c r="D108" s="8"/>
      <c r="E108" s="68"/>
      <c r="F108" s="129"/>
      <c r="G108" s="8"/>
      <c r="L108" s="157"/>
    </row>
    <row r="109">
      <c r="B109" s="173" t="s">
        <v>0</v>
      </c>
      <c r="C109" s="3"/>
      <c r="D109" s="3"/>
      <c r="E109" s="3"/>
      <c r="F109" s="3"/>
      <c r="G109" s="3"/>
      <c r="H109" s="3"/>
      <c r="I109" s="3"/>
      <c r="J109" s="3"/>
      <c r="K109" s="4"/>
      <c r="L109" s="157"/>
    </row>
    <row r="110">
      <c r="B110" s="5"/>
      <c r="C110" s="6"/>
      <c r="D110" s="6"/>
      <c r="E110" s="6"/>
      <c r="F110" s="6"/>
      <c r="G110" s="6"/>
      <c r="H110" s="6"/>
      <c r="I110" s="6"/>
      <c r="J110" s="6"/>
      <c r="K110" s="7"/>
      <c r="L110" s="157"/>
    </row>
    <row r="111">
      <c r="B111" s="221"/>
      <c r="C111" s="221"/>
      <c r="D111" s="221"/>
      <c r="E111" s="222"/>
      <c r="F111" s="223"/>
      <c r="G111" s="221"/>
      <c r="H111" s="221"/>
      <c r="I111" s="221"/>
      <c r="J111" s="221"/>
      <c r="K111" s="221"/>
      <c r="L111" s="157"/>
    </row>
    <row r="112">
      <c r="B112" s="270" t="s">
        <v>111</v>
      </c>
      <c r="C112" s="10"/>
      <c r="D112" s="10"/>
      <c r="E112" s="11"/>
      <c r="F112" s="223"/>
      <c r="G112" s="72" t="s">
        <v>112</v>
      </c>
      <c r="H112" s="10"/>
      <c r="I112" s="225" t="s">
        <v>2</v>
      </c>
      <c r="J112" s="226" t="s">
        <v>3</v>
      </c>
      <c r="K112" s="227" t="s">
        <v>4</v>
      </c>
      <c r="L112" s="157"/>
    </row>
    <row r="113">
      <c r="B113" s="228">
        <v>1.0</v>
      </c>
      <c r="C113" s="229" t="s">
        <v>5</v>
      </c>
      <c r="D113" s="11"/>
      <c r="E113" s="15">
        <v>1128.0</v>
      </c>
      <c r="F113" s="223"/>
      <c r="G113" s="230" t="s">
        <v>6</v>
      </c>
      <c r="H113" s="18"/>
      <c r="I113" s="275">
        <f>E113</f>
        <v>1128</v>
      </c>
      <c r="J113" s="232"/>
      <c r="K113" s="233"/>
      <c r="L113" s="157"/>
    </row>
    <row r="114">
      <c r="B114" s="234">
        <v>2.0</v>
      </c>
      <c r="C114" s="235" t="s">
        <v>7</v>
      </c>
      <c r="D114" s="11"/>
      <c r="E114" s="214">
        <v>0.75</v>
      </c>
      <c r="F114" s="223"/>
      <c r="G114" s="237" t="s">
        <v>8</v>
      </c>
      <c r="H114" s="26"/>
      <c r="I114" s="238">
        <f t="shared" ref="I114:I115" si="16">I113*J114</f>
        <v>846</v>
      </c>
      <c r="J114" s="239">
        <f t="shared" ref="J114:J115" si="17">E114</f>
        <v>0.75</v>
      </c>
      <c r="K114" s="240">
        <f t="shared" ref="K114:K115" si="18">I114+(I114*E116)</f>
        <v>972.9</v>
      </c>
      <c r="L114" s="157"/>
    </row>
    <row r="115">
      <c r="B115" s="241">
        <v>3.0</v>
      </c>
      <c r="C115" s="242" t="s">
        <v>9</v>
      </c>
      <c r="D115" s="11"/>
      <c r="E115" s="215">
        <v>0.4</v>
      </c>
      <c r="F115" s="223"/>
      <c r="G115" s="237" t="s">
        <v>10</v>
      </c>
      <c r="H115" s="26"/>
      <c r="I115" s="244">
        <f t="shared" si="16"/>
        <v>338.4</v>
      </c>
      <c r="J115" s="245">
        <f t="shared" si="17"/>
        <v>0.4</v>
      </c>
      <c r="K115" s="35">
        <f t="shared" si="18"/>
        <v>507.6</v>
      </c>
      <c r="L115" s="157"/>
    </row>
    <row r="116">
      <c r="B116" s="246">
        <v>4.0</v>
      </c>
      <c r="C116" s="247" t="s">
        <v>11</v>
      </c>
      <c r="D116" s="11"/>
      <c r="E116" s="216">
        <v>0.15</v>
      </c>
      <c r="F116" s="223"/>
      <c r="G116" s="237" t="s">
        <v>12</v>
      </c>
      <c r="H116" s="26"/>
      <c r="I116" s="248">
        <f>E118</f>
        <v>60</v>
      </c>
      <c r="J116" s="249">
        <f>E119</f>
        <v>0.1</v>
      </c>
      <c r="K116" s="41">
        <f>I116+(I116*E119)</f>
        <v>66</v>
      </c>
      <c r="L116" s="157"/>
    </row>
    <row r="117">
      <c r="B117" s="250">
        <v>5.0</v>
      </c>
      <c r="C117" s="251" t="s">
        <v>13</v>
      </c>
      <c r="D117" s="11"/>
      <c r="E117" s="217">
        <v>0.5</v>
      </c>
      <c r="F117" s="223"/>
      <c r="G117" s="276" t="s">
        <v>29</v>
      </c>
      <c r="H117" s="26"/>
      <c r="I117" s="277">
        <f>E120</f>
        <v>2850</v>
      </c>
      <c r="J117" s="253">
        <f>E121</f>
        <v>0.2</v>
      </c>
      <c r="K117" s="254">
        <f>I117+(I117*J117)</f>
        <v>3420</v>
      </c>
      <c r="L117" s="157">
        <f>3420/3</f>
        <v>1140</v>
      </c>
    </row>
    <row r="118">
      <c r="B118" s="255">
        <v>6.0</v>
      </c>
      <c r="C118" s="256" t="s">
        <v>15</v>
      </c>
      <c r="D118" s="11"/>
      <c r="E118" s="50">
        <v>60.0</v>
      </c>
      <c r="F118" s="223"/>
      <c r="G118" s="237" t="s">
        <v>16</v>
      </c>
      <c r="H118" s="26"/>
      <c r="I118" s="278">
        <v>141.0</v>
      </c>
      <c r="J118" s="258"/>
      <c r="K118" s="47">
        <f>IFERROR(K114/K120,0)</f>
        <v>98.27272727</v>
      </c>
      <c r="L118" s="157"/>
    </row>
    <row r="119">
      <c r="B119" s="255">
        <v>7.0</v>
      </c>
      <c r="C119" s="256" t="s">
        <v>17</v>
      </c>
      <c r="D119" s="11"/>
      <c r="E119" s="52">
        <v>0.1</v>
      </c>
      <c r="F119" s="223"/>
      <c r="G119" s="237" t="s">
        <v>18</v>
      </c>
      <c r="H119" s="26"/>
      <c r="I119" s="259">
        <f>IFERROR(I117/I115,0)</f>
        <v>8.421985816</v>
      </c>
      <c r="J119" s="258"/>
      <c r="K119" s="260">
        <f>IFERROR(K117/K115,0)</f>
        <v>6.737588652</v>
      </c>
      <c r="L119" s="157"/>
    </row>
    <row r="120">
      <c r="B120" s="261">
        <v>8.0</v>
      </c>
      <c r="C120" s="262" t="s">
        <v>19</v>
      </c>
      <c r="D120" s="11"/>
      <c r="E120" s="57">
        <v>2850.0</v>
      </c>
      <c r="F120" s="279">
        <f>2850/3</f>
        <v>950</v>
      </c>
      <c r="G120" s="237" t="s">
        <v>20</v>
      </c>
      <c r="H120" s="26"/>
      <c r="I120" s="280">
        <v>1.0</v>
      </c>
      <c r="J120" s="258"/>
      <c r="K120" s="47">
        <f>E122+(E122*E123)</f>
        <v>9.9</v>
      </c>
      <c r="L120" s="157"/>
    </row>
    <row r="121">
      <c r="B121" s="261">
        <v>9.0</v>
      </c>
      <c r="C121" s="262" t="s">
        <v>21</v>
      </c>
      <c r="D121" s="11"/>
      <c r="E121" s="60">
        <v>0.2</v>
      </c>
      <c r="F121" s="265"/>
      <c r="G121" s="237" t="s">
        <v>22</v>
      </c>
      <c r="H121" s="26"/>
      <c r="I121" s="257">
        <f>IFERROR(I117/E122,0)</f>
        <v>316.6666667</v>
      </c>
      <c r="J121" s="258"/>
      <c r="K121" s="254">
        <f>IFERROR(K117/K120,0)</f>
        <v>345.4545455</v>
      </c>
      <c r="L121" s="157"/>
    </row>
    <row r="122">
      <c r="B122" s="261">
        <v>10.0</v>
      </c>
      <c r="C122" s="262" t="s">
        <v>23</v>
      </c>
      <c r="D122" s="11"/>
      <c r="E122" s="57">
        <v>9.0</v>
      </c>
      <c r="F122" s="265"/>
      <c r="G122" s="25"/>
      <c r="H122" s="26"/>
      <c r="I122" s="59"/>
      <c r="J122" s="51"/>
      <c r="K122" s="146"/>
      <c r="L122" s="157"/>
    </row>
    <row r="123">
      <c r="B123" s="55">
        <v>11.0</v>
      </c>
      <c r="C123" s="56" t="s">
        <v>24</v>
      </c>
      <c r="D123" s="11"/>
      <c r="E123" s="60">
        <v>0.1</v>
      </c>
      <c r="F123" s="265"/>
      <c r="G123" s="208" t="s">
        <v>30</v>
      </c>
      <c r="H123" s="26"/>
      <c r="I123" s="209"/>
      <c r="J123" s="210"/>
      <c r="K123" s="211">
        <f>(K117*28)*E124+(K117*28)*E125</f>
        <v>110124</v>
      </c>
      <c r="L123" s="157"/>
    </row>
    <row r="124">
      <c r="B124" s="91">
        <v>12.0</v>
      </c>
      <c r="C124" s="92" t="s">
        <v>31</v>
      </c>
      <c r="D124" s="11"/>
      <c r="E124" s="93">
        <v>0.15</v>
      </c>
      <c r="F124" s="265"/>
      <c r="G124" s="25"/>
      <c r="H124" s="26"/>
      <c r="I124" s="59"/>
      <c r="J124" s="51"/>
      <c r="K124" s="146"/>
      <c r="L124" s="157"/>
    </row>
    <row r="125">
      <c r="B125" s="96"/>
      <c r="C125" s="92" t="s">
        <v>43</v>
      </c>
      <c r="D125" s="11"/>
      <c r="E125" s="281">
        <v>1.0</v>
      </c>
      <c r="F125" s="129"/>
      <c r="G125" s="266"/>
      <c r="H125" s="63"/>
      <c r="I125" s="267"/>
      <c r="J125" s="268"/>
      <c r="K125" s="269"/>
      <c r="L125" s="157"/>
    </row>
    <row r="126">
      <c r="B126" s="8"/>
      <c r="C126" s="8"/>
      <c r="D126" s="8"/>
      <c r="E126" s="68"/>
      <c r="F126" s="129"/>
      <c r="G126" s="8"/>
      <c r="L126" s="157"/>
    </row>
    <row r="127">
      <c r="B127" s="67" t="s">
        <v>110</v>
      </c>
      <c r="L127" s="157"/>
    </row>
    <row r="128">
      <c r="L128" s="157"/>
    </row>
    <row r="129">
      <c r="B129" s="8"/>
      <c r="C129" s="8"/>
      <c r="D129" s="8"/>
      <c r="E129" s="68"/>
      <c r="F129" s="129"/>
      <c r="G129" s="8"/>
      <c r="L129" s="157"/>
    </row>
    <row r="130">
      <c r="A130" s="282" t="s">
        <v>113</v>
      </c>
      <c r="B130" s="283"/>
      <c r="C130" s="283"/>
      <c r="D130" s="8"/>
      <c r="E130" s="68"/>
      <c r="F130" s="129"/>
      <c r="G130" s="8"/>
      <c r="L130" s="157"/>
    </row>
    <row r="131">
      <c r="B131" s="173" t="s">
        <v>0</v>
      </c>
      <c r="C131" s="3"/>
      <c r="D131" s="3"/>
      <c r="E131" s="3"/>
      <c r="F131" s="3"/>
      <c r="G131" s="3"/>
      <c r="H131" s="3"/>
      <c r="I131" s="3"/>
      <c r="J131" s="3"/>
      <c r="K131" s="4"/>
      <c r="L131" s="157"/>
    </row>
    <row r="132">
      <c r="B132" s="5"/>
      <c r="C132" s="6"/>
      <c r="D132" s="6"/>
      <c r="E132" s="6"/>
      <c r="F132" s="6"/>
      <c r="G132" s="6"/>
      <c r="H132" s="6"/>
      <c r="I132" s="6"/>
      <c r="J132" s="6"/>
      <c r="K132" s="7"/>
      <c r="L132" s="157"/>
    </row>
    <row r="133">
      <c r="B133" s="221"/>
      <c r="C133" s="221"/>
      <c r="D133" s="221"/>
      <c r="E133" s="222"/>
      <c r="F133" s="223"/>
      <c r="G133" s="221"/>
      <c r="H133" s="221"/>
      <c r="I133" s="221"/>
      <c r="J133" s="221"/>
      <c r="K133" s="221"/>
      <c r="L133" s="157"/>
    </row>
    <row r="134">
      <c r="B134" s="270" t="s">
        <v>111</v>
      </c>
      <c r="C134" s="10"/>
      <c r="D134" s="10"/>
      <c r="E134" s="11"/>
      <c r="F134" s="223"/>
      <c r="G134" s="72" t="s">
        <v>114</v>
      </c>
      <c r="H134" s="10"/>
      <c r="I134" s="225" t="s">
        <v>2</v>
      </c>
      <c r="J134" s="226" t="s">
        <v>3</v>
      </c>
      <c r="K134" s="227" t="s">
        <v>4</v>
      </c>
      <c r="L134" s="157"/>
    </row>
    <row r="135">
      <c r="B135" s="228">
        <v>1.0</v>
      </c>
      <c r="C135" s="229" t="s">
        <v>5</v>
      </c>
      <c r="D135" s="11"/>
      <c r="E135" s="15">
        <v>1271.0</v>
      </c>
      <c r="F135" s="223"/>
      <c r="G135" s="230" t="s">
        <v>6</v>
      </c>
      <c r="H135" s="18"/>
      <c r="I135" s="275">
        <f>E135</f>
        <v>1271</v>
      </c>
      <c r="J135" s="232"/>
      <c r="K135" s="233"/>
      <c r="L135" s="157"/>
    </row>
    <row r="136">
      <c r="B136" s="234">
        <v>2.0</v>
      </c>
      <c r="C136" s="235" t="s">
        <v>7</v>
      </c>
      <c r="D136" s="11"/>
      <c r="E136" s="214">
        <v>0.8</v>
      </c>
      <c r="F136" s="223"/>
      <c r="G136" s="237" t="s">
        <v>8</v>
      </c>
      <c r="H136" s="26"/>
      <c r="I136" s="238">
        <f t="shared" ref="I136:I137" si="19">I135*J136</f>
        <v>1016.8</v>
      </c>
      <c r="J136" s="239">
        <f t="shared" ref="J136:J137" si="20">E136</f>
        <v>0.8</v>
      </c>
      <c r="K136" s="240">
        <f t="shared" ref="K136:K137" si="21">I136+(I136*E138)</f>
        <v>1118.48</v>
      </c>
      <c r="L136" s="157"/>
    </row>
    <row r="137">
      <c r="B137" s="241">
        <v>3.0</v>
      </c>
      <c r="C137" s="242" t="s">
        <v>9</v>
      </c>
      <c r="D137" s="11"/>
      <c r="E137" s="215">
        <v>0.45</v>
      </c>
      <c r="F137" s="223"/>
      <c r="G137" s="237" t="s">
        <v>10</v>
      </c>
      <c r="H137" s="26"/>
      <c r="I137" s="244">
        <f t="shared" si="19"/>
        <v>457.56</v>
      </c>
      <c r="J137" s="245">
        <f t="shared" si="20"/>
        <v>0.45</v>
      </c>
      <c r="K137" s="35">
        <f t="shared" si="21"/>
        <v>526.194</v>
      </c>
      <c r="L137" s="157"/>
    </row>
    <row r="138">
      <c r="B138" s="246">
        <v>4.0</v>
      </c>
      <c r="C138" s="247" t="s">
        <v>11</v>
      </c>
      <c r="D138" s="11"/>
      <c r="E138" s="216">
        <v>0.1</v>
      </c>
      <c r="F138" s="223"/>
      <c r="G138" s="237" t="s">
        <v>12</v>
      </c>
      <c r="H138" s="26"/>
      <c r="I138" s="248">
        <f>E140</f>
        <v>60</v>
      </c>
      <c r="J138" s="249">
        <f>E141</f>
        <v>0.25</v>
      </c>
      <c r="K138" s="41">
        <f>I138+(I138*E141)</f>
        <v>75</v>
      </c>
      <c r="L138" s="157"/>
    </row>
    <row r="139">
      <c r="B139" s="250">
        <v>5.0</v>
      </c>
      <c r="C139" s="251" t="s">
        <v>13</v>
      </c>
      <c r="D139" s="11"/>
      <c r="E139" s="217">
        <v>0.15</v>
      </c>
      <c r="F139" s="223"/>
      <c r="G139" s="237" t="s">
        <v>14</v>
      </c>
      <c r="H139" s="26"/>
      <c r="I139" s="277">
        <f>E142</f>
        <v>2550</v>
      </c>
      <c r="J139" s="253">
        <f>E143</f>
        <v>0.2</v>
      </c>
      <c r="K139" s="254">
        <f>I139+(I139*J139)</f>
        <v>3060</v>
      </c>
      <c r="L139" s="157">
        <f>K139/3</f>
        <v>1020</v>
      </c>
    </row>
    <row r="140">
      <c r="B140" s="255">
        <v>6.0</v>
      </c>
      <c r="C140" s="256" t="s">
        <v>15</v>
      </c>
      <c r="D140" s="11"/>
      <c r="E140" s="50">
        <v>60.0</v>
      </c>
      <c r="F140" s="223"/>
      <c r="G140" s="237" t="s">
        <v>16</v>
      </c>
      <c r="H140" s="26"/>
      <c r="I140" s="257">
        <f>IFERROR(I136/E146,0)</f>
        <v>6778.666667</v>
      </c>
      <c r="J140" s="258"/>
      <c r="K140" s="47">
        <f>IFERROR(K136/K142,0)</f>
        <v>145.2571429</v>
      </c>
      <c r="L140" s="157"/>
    </row>
    <row r="141">
      <c r="B141" s="255">
        <v>7.0</v>
      </c>
      <c r="C141" s="256" t="s">
        <v>17</v>
      </c>
      <c r="D141" s="11"/>
      <c r="E141" s="52">
        <v>0.25</v>
      </c>
      <c r="F141" s="223"/>
      <c r="G141" s="237" t="s">
        <v>18</v>
      </c>
      <c r="H141" s="26"/>
      <c r="I141" s="259">
        <f>IFERROR(I139/I137,0)</f>
        <v>5.573039601</v>
      </c>
      <c r="J141" s="258"/>
      <c r="K141" s="260">
        <f>IFERROR(K139/K137,0)</f>
        <v>5.815345671</v>
      </c>
      <c r="L141" s="157"/>
    </row>
    <row r="142">
      <c r="B142" s="261">
        <v>8.0</v>
      </c>
      <c r="C142" s="262" t="s">
        <v>19</v>
      </c>
      <c r="D142" s="11"/>
      <c r="E142" s="57">
        <v>2550.0</v>
      </c>
      <c r="F142" s="284">
        <f>2550/3</f>
        <v>850</v>
      </c>
      <c r="G142" s="237" t="s">
        <v>20</v>
      </c>
      <c r="H142" s="26"/>
      <c r="I142" s="280">
        <v>1.0</v>
      </c>
      <c r="J142" s="258"/>
      <c r="K142" s="47">
        <f>E144+(E144*E145)</f>
        <v>7.7</v>
      </c>
      <c r="L142" s="157"/>
    </row>
    <row r="143">
      <c r="B143" s="261">
        <v>9.0</v>
      </c>
      <c r="C143" s="262" t="s">
        <v>21</v>
      </c>
      <c r="D143" s="11"/>
      <c r="E143" s="60">
        <v>0.2</v>
      </c>
      <c r="F143" s="265"/>
      <c r="G143" s="237" t="s">
        <v>22</v>
      </c>
      <c r="H143" s="26"/>
      <c r="I143" s="257">
        <f>IFERROR(I139/E144,0)</f>
        <v>364.2857143</v>
      </c>
      <c r="J143" s="258"/>
      <c r="K143" s="254">
        <f>IFERROR(K139/K142,0)</f>
        <v>397.4025974</v>
      </c>
      <c r="L143" s="157"/>
    </row>
    <row r="144">
      <c r="B144" s="261">
        <v>10.0</v>
      </c>
      <c r="C144" s="262" t="s">
        <v>23</v>
      </c>
      <c r="D144" s="11"/>
      <c r="E144" s="57">
        <v>7.0</v>
      </c>
      <c r="F144" s="265"/>
      <c r="G144" s="25"/>
      <c r="H144" s="26"/>
      <c r="I144" s="59"/>
      <c r="J144" s="51"/>
      <c r="K144" s="146"/>
      <c r="L144" s="157"/>
    </row>
    <row r="145">
      <c r="B145" s="55">
        <v>11.0</v>
      </c>
      <c r="C145" s="56" t="s">
        <v>24</v>
      </c>
      <c r="D145" s="11"/>
      <c r="E145" s="60">
        <v>0.1</v>
      </c>
      <c r="F145" s="265"/>
      <c r="G145" s="208" t="s">
        <v>30</v>
      </c>
      <c r="H145" s="26"/>
      <c r="I145" s="209"/>
      <c r="J145" s="210"/>
      <c r="K145" s="211">
        <f>(K139*28)*E146+(K139*28)*E147</f>
        <v>13708.8</v>
      </c>
      <c r="L145" s="157"/>
    </row>
    <row r="146">
      <c r="B146" s="91">
        <v>12.0</v>
      </c>
      <c r="C146" s="92" t="s">
        <v>31</v>
      </c>
      <c r="D146" s="11"/>
      <c r="E146" s="93">
        <v>0.15</v>
      </c>
      <c r="F146" s="265"/>
      <c r="G146" s="25"/>
      <c r="H146" s="26"/>
      <c r="I146" s="59"/>
      <c r="J146" s="51"/>
      <c r="K146" s="146"/>
      <c r="L146" s="157"/>
    </row>
    <row r="147">
      <c r="B147" s="96"/>
      <c r="C147" s="92" t="s">
        <v>43</v>
      </c>
      <c r="D147" s="11"/>
      <c r="E147" s="93">
        <v>0.01</v>
      </c>
      <c r="F147" s="129"/>
      <c r="G147" s="266"/>
      <c r="H147" s="63"/>
      <c r="I147" s="267"/>
      <c r="J147" s="268"/>
      <c r="K147" s="269"/>
      <c r="L147" s="157"/>
    </row>
    <row r="148">
      <c r="B148" s="8"/>
      <c r="C148" s="8"/>
      <c r="D148" s="8"/>
      <c r="E148" s="68"/>
      <c r="F148" s="129"/>
      <c r="G148" s="8"/>
      <c r="L148" s="157"/>
    </row>
    <row r="149">
      <c r="B149" s="67" t="s">
        <v>115</v>
      </c>
      <c r="L149" s="157"/>
    </row>
    <row r="150">
      <c r="L150" s="157"/>
    </row>
    <row r="151">
      <c r="B151" s="8"/>
      <c r="C151" s="8"/>
      <c r="D151" s="8"/>
      <c r="E151" s="68"/>
      <c r="F151" s="129"/>
      <c r="G151" s="8"/>
      <c r="L151" s="157"/>
    </row>
    <row r="152">
      <c r="B152" s="8"/>
      <c r="C152" s="8"/>
      <c r="D152" s="8"/>
      <c r="E152" s="68"/>
      <c r="F152" s="129"/>
      <c r="G152" s="8"/>
      <c r="L152" s="157"/>
    </row>
    <row r="153">
      <c r="B153" s="8"/>
      <c r="C153" s="8"/>
      <c r="D153" s="8"/>
      <c r="E153" s="68"/>
      <c r="F153" s="129"/>
      <c r="G153" s="8"/>
      <c r="L153" s="157"/>
    </row>
    <row r="154">
      <c r="B154" s="8"/>
      <c r="C154" s="8"/>
      <c r="D154" s="8"/>
      <c r="E154" s="68"/>
      <c r="F154" s="129"/>
      <c r="G154" s="8"/>
      <c r="L154" s="157"/>
    </row>
    <row r="155">
      <c r="B155" s="8"/>
      <c r="C155" s="8"/>
      <c r="D155" s="8"/>
      <c r="E155" s="68"/>
      <c r="F155" s="129"/>
      <c r="G155" s="8"/>
      <c r="L155" s="157"/>
    </row>
    <row r="156">
      <c r="B156" s="8"/>
      <c r="C156" s="8"/>
      <c r="D156" s="8"/>
      <c r="E156" s="68"/>
      <c r="F156" s="129"/>
      <c r="G156" s="8"/>
      <c r="L156" s="157"/>
    </row>
    <row r="157">
      <c r="B157" s="8"/>
      <c r="C157" s="8"/>
      <c r="D157" s="8"/>
      <c r="E157" s="68"/>
      <c r="F157" s="129"/>
      <c r="G157" s="8"/>
      <c r="L157" s="157"/>
    </row>
    <row r="158">
      <c r="B158" s="8"/>
      <c r="C158" s="8"/>
      <c r="D158" s="8"/>
      <c r="E158" s="68"/>
      <c r="F158" s="129"/>
      <c r="G158" s="8"/>
      <c r="L158" s="157"/>
    </row>
    <row r="159">
      <c r="B159" s="8"/>
      <c r="C159" s="8"/>
      <c r="D159" s="8"/>
      <c r="E159" s="68"/>
      <c r="F159" s="129"/>
      <c r="G159" s="8"/>
      <c r="L159" s="157"/>
    </row>
    <row r="160">
      <c r="B160" s="8"/>
      <c r="C160" s="8"/>
      <c r="D160" s="8"/>
      <c r="E160" s="68"/>
      <c r="F160" s="129"/>
      <c r="G160" s="8"/>
      <c r="L160" s="157"/>
    </row>
    <row r="161">
      <c r="B161" s="8"/>
      <c r="C161" s="8"/>
      <c r="D161" s="8"/>
      <c r="E161" s="68"/>
      <c r="F161" s="129"/>
      <c r="G161" s="8"/>
      <c r="L161" s="157"/>
    </row>
    <row r="162">
      <c r="B162" s="8"/>
      <c r="C162" s="8"/>
      <c r="D162" s="8"/>
      <c r="E162" s="68"/>
      <c r="F162" s="129"/>
      <c r="G162" s="8"/>
      <c r="L162" s="157"/>
    </row>
    <row r="163">
      <c r="B163" s="8"/>
      <c r="C163" s="8"/>
      <c r="D163" s="8"/>
      <c r="E163" s="68"/>
      <c r="F163" s="129"/>
      <c r="G163" s="8"/>
      <c r="L163" s="157"/>
    </row>
    <row r="164">
      <c r="B164" s="8"/>
      <c r="C164" s="8"/>
      <c r="D164" s="8"/>
      <c r="E164" s="68"/>
      <c r="F164" s="129"/>
      <c r="G164" s="8"/>
      <c r="L164" s="157"/>
    </row>
    <row r="165">
      <c r="B165" s="8"/>
      <c r="C165" s="8"/>
      <c r="D165" s="8"/>
      <c r="E165" s="68"/>
      <c r="F165" s="129"/>
      <c r="G165" s="8"/>
      <c r="L165" s="157"/>
    </row>
    <row r="166">
      <c r="B166" s="8"/>
      <c r="C166" s="8"/>
      <c r="D166" s="8"/>
      <c r="E166" s="68"/>
      <c r="F166" s="129"/>
      <c r="G166" s="8"/>
      <c r="L166" s="157"/>
    </row>
    <row r="167">
      <c r="B167" s="8"/>
      <c r="C167" s="8"/>
      <c r="D167" s="8"/>
      <c r="E167" s="68"/>
      <c r="F167" s="129"/>
      <c r="G167" s="8"/>
      <c r="L167" s="157"/>
    </row>
    <row r="168">
      <c r="B168" s="8"/>
      <c r="C168" s="8"/>
      <c r="D168" s="8"/>
      <c r="E168" s="68"/>
      <c r="F168" s="129"/>
      <c r="G168" s="8"/>
      <c r="L168" s="157"/>
    </row>
    <row r="169">
      <c r="B169" s="8"/>
      <c r="C169" s="8"/>
      <c r="D169" s="8"/>
      <c r="E169" s="68"/>
      <c r="F169" s="129"/>
      <c r="G169" s="8"/>
      <c r="L169" s="157"/>
    </row>
    <row r="170">
      <c r="B170" s="8"/>
      <c r="C170" s="8"/>
      <c r="D170" s="8"/>
      <c r="E170" s="68"/>
      <c r="F170" s="129"/>
      <c r="G170" s="8"/>
      <c r="L170" s="157"/>
    </row>
    <row r="171">
      <c r="B171" s="8"/>
      <c r="C171" s="8"/>
      <c r="D171" s="8"/>
      <c r="E171" s="68"/>
      <c r="F171" s="129"/>
      <c r="G171" s="8"/>
      <c r="L171" s="157"/>
    </row>
    <row r="172">
      <c r="B172" s="8"/>
      <c r="C172" s="8"/>
      <c r="D172" s="8"/>
      <c r="E172" s="68"/>
      <c r="F172" s="129"/>
      <c r="G172" s="8"/>
      <c r="L172" s="157"/>
    </row>
    <row r="173">
      <c r="B173" s="8"/>
      <c r="C173" s="8"/>
      <c r="D173" s="8"/>
      <c r="E173" s="68"/>
      <c r="F173" s="129"/>
      <c r="G173" s="8"/>
      <c r="L173" s="157"/>
    </row>
    <row r="174">
      <c r="B174" s="8"/>
      <c r="C174" s="8"/>
      <c r="D174" s="8"/>
      <c r="E174" s="68"/>
      <c r="F174" s="129"/>
      <c r="G174" s="8"/>
      <c r="L174" s="157"/>
    </row>
    <row r="175">
      <c r="B175" s="8"/>
      <c r="C175" s="8"/>
      <c r="D175" s="8"/>
      <c r="E175" s="68"/>
      <c r="F175" s="129"/>
      <c r="G175" s="8"/>
      <c r="L175" s="157"/>
    </row>
    <row r="176">
      <c r="B176" s="8"/>
      <c r="C176" s="8"/>
      <c r="D176" s="8"/>
      <c r="E176" s="68"/>
      <c r="F176" s="129"/>
      <c r="G176" s="8"/>
      <c r="L176" s="157"/>
    </row>
    <row r="177">
      <c r="B177" s="8"/>
      <c r="C177" s="8"/>
      <c r="D177" s="8"/>
      <c r="E177" s="68"/>
      <c r="F177" s="129"/>
      <c r="G177" s="8"/>
      <c r="L177" s="157"/>
    </row>
    <row r="178">
      <c r="B178" s="8"/>
      <c r="C178" s="8"/>
      <c r="D178" s="8"/>
      <c r="E178" s="68"/>
      <c r="F178" s="129"/>
      <c r="G178" s="8"/>
      <c r="L178" s="157"/>
    </row>
    <row r="179">
      <c r="B179" s="8"/>
      <c r="C179" s="8"/>
      <c r="D179" s="8"/>
      <c r="E179" s="68"/>
      <c r="F179" s="129"/>
      <c r="G179" s="8"/>
      <c r="L179" s="157"/>
    </row>
    <row r="180">
      <c r="B180" s="8"/>
      <c r="C180" s="8"/>
      <c r="D180" s="8"/>
      <c r="E180" s="68"/>
      <c r="F180" s="129"/>
      <c r="G180" s="8"/>
      <c r="L180" s="157"/>
    </row>
    <row r="181">
      <c r="B181" s="8"/>
      <c r="C181" s="8"/>
      <c r="D181" s="8"/>
      <c r="E181" s="68"/>
      <c r="F181" s="129"/>
      <c r="G181" s="8"/>
      <c r="L181" s="157"/>
    </row>
    <row r="182">
      <c r="B182" s="8"/>
      <c r="C182" s="8"/>
      <c r="D182" s="8"/>
      <c r="E182" s="68"/>
      <c r="F182" s="129"/>
      <c r="G182" s="8"/>
      <c r="L182" s="157"/>
    </row>
    <row r="183">
      <c r="B183" s="8"/>
      <c r="C183" s="8"/>
      <c r="D183" s="8"/>
      <c r="E183" s="68"/>
      <c r="F183" s="129"/>
      <c r="G183" s="8"/>
      <c r="L183" s="157"/>
    </row>
    <row r="184">
      <c r="B184" s="8"/>
      <c r="C184" s="8"/>
      <c r="D184" s="8"/>
      <c r="E184" s="68"/>
      <c r="F184" s="129"/>
      <c r="G184" s="8"/>
      <c r="L184" s="157"/>
    </row>
    <row r="185">
      <c r="B185" s="8"/>
      <c r="C185" s="8"/>
      <c r="D185" s="8"/>
      <c r="E185" s="68"/>
      <c r="F185" s="129"/>
      <c r="G185" s="8"/>
      <c r="L185" s="157"/>
    </row>
    <row r="186">
      <c r="B186" s="8"/>
      <c r="C186" s="8"/>
      <c r="D186" s="8"/>
      <c r="E186" s="68"/>
      <c r="F186" s="129"/>
      <c r="G186" s="8"/>
      <c r="L186" s="157"/>
    </row>
    <row r="187">
      <c r="B187" s="8"/>
      <c r="C187" s="8"/>
      <c r="D187" s="8"/>
      <c r="E187" s="68"/>
      <c r="F187" s="129"/>
      <c r="G187" s="8"/>
      <c r="L187" s="157"/>
    </row>
    <row r="188">
      <c r="B188" s="8"/>
      <c r="C188" s="8"/>
      <c r="D188" s="8"/>
      <c r="E188" s="68"/>
      <c r="F188" s="129"/>
      <c r="G188" s="8"/>
      <c r="L188" s="157"/>
    </row>
    <row r="189">
      <c r="B189" s="8"/>
      <c r="C189" s="8"/>
      <c r="D189" s="8"/>
      <c r="E189" s="68"/>
      <c r="F189" s="129"/>
      <c r="G189" s="8"/>
      <c r="L189" s="157"/>
    </row>
    <row r="190">
      <c r="B190" s="8"/>
      <c r="C190" s="8"/>
      <c r="D190" s="8"/>
      <c r="E190" s="68"/>
      <c r="F190" s="129"/>
      <c r="G190" s="8"/>
      <c r="L190" s="157"/>
    </row>
    <row r="191">
      <c r="B191" s="8"/>
      <c r="C191" s="8"/>
      <c r="D191" s="8"/>
      <c r="E191" s="68"/>
      <c r="F191" s="129"/>
      <c r="G191" s="8"/>
      <c r="L191" s="157"/>
    </row>
    <row r="192">
      <c r="B192" s="8"/>
      <c r="C192" s="8"/>
      <c r="D192" s="8"/>
      <c r="E192" s="68"/>
      <c r="F192" s="129"/>
      <c r="G192" s="8"/>
      <c r="L192" s="157"/>
    </row>
    <row r="193">
      <c r="B193" s="8"/>
      <c r="C193" s="8"/>
      <c r="D193" s="8"/>
      <c r="E193" s="68"/>
      <c r="F193" s="129"/>
      <c r="G193" s="8"/>
      <c r="L193" s="157"/>
    </row>
    <row r="194">
      <c r="B194" s="8"/>
      <c r="C194" s="8"/>
      <c r="D194" s="8"/>
      <c r="E194" s="68"/>
      <c r="F194" s="129"/>
      <c r="G194" s="8"/>
      <c r="L194" s="157"/>
    </row>
    <row r="195">
      <c r="B195" s="8"/>
      <c r="C195" s="8"/>
      <c r="D195" s="8"/>
      <c r="E195" s="68"/>
      <c r="F195" s="129"/>
      <c r="G195" s="8"/>
      <c r="L195" s="157"/>
    </row>
    <row r="196">
      <c r="B196" s="8"/>
      <c r="C196" s="8"/>
      <c r="D196" s="8"/>
      <c r="E196" s="68"/>
      <c r="F196" s="129"/>
      <c r="G196" s="8"/>
      <c r="L196" s="157"/>
    </row>
    <row r="197">
      <c r="B197" s="8"/>
      <c r="C197" s="8"/>
      <c r="D197" s="8"/>
      <c r="E197" s="68"/>
      <c r="F197" s="129"/>
      <c r="G197" s="8"/>
      <c r="L197" s="157"/>
    </row>
    <row r="198">
      <c r="B198" s="8"/>
      <c r="C198" s="8"/>
      <c r="D198" s="8"/>
      <c r="E198" s="68"/>
      <c r="F198" s="129"/>
      <c r="G198" s="8"/>
      <c r="L198" s="157"/>
    </row>
    <row r="199">
      <c r="B199" s="8"/>
      <c r="C199" s="8"/>
      <c r="D199" s="8"/>
      <c r="E199" s="68"/>
      <c r="F199" s="129"/>
      <c r="G199" s="8"/>
      <c r="L199" s="157"/>
    </row>
    <row r="200">
      <c r="B200" s="8"/>
      <c r="C200" s="8"/>
      <c r="D200" s="8"/>
      <c r="E200" s="68"/>
      <c r="F200" s="129"/>
      <c r="G200" s="8"/>
      <c r="L200" s="157"/>
    </row>
    <row r="201">
      <c r="B201" s="8"/>
      <c r="C201" s="8"/>
      <c r="D201" s="8"/>
      <c r="E201" s="68"/>
      <c r="F201" s="129"/>
      <c r="G201" s="8"/>
      <c r="L201" s="157"/>
    </row>
    <row r="202">
      <c r="B202" s="8"/>
      <c r="C202" s="8"/>
      <c r="D202" s="8"/>
      <c r="E202" s="68"/>
      <c r="F202" s="129"/>
      <c r="G202" s="8"/>
      <c r="L202" s="157"/>
    </row>
    <row r="203">
      <c r="B203" s="8"/>
      <c r="C203" s="8"/>
      <c r="D203" s="8"/>
      <c r="E203" s="68"/>
      <c r="F203" s="129"/>
      <c r="G203" s="8"/>
      <c r="L203" s="157"/>
    </row>
    <row r="204">
      <c r="B204" s="8"/>
      <c r="C204" s="8"/>
      <c r="D204" s="8"/>
      <c r="E204" s="68"/>
      <c r="F204" s="129"/>
      <c r="G204" s="8"/>
      <c r="L204" s="157"/>
    </row>
    <row r="205">
      <c r="B205" s="8"/>
      <c r="C205" s="8"/>
      <c r="D205" s="8"/>
      <c r="E205" s="68"/>
      <c r="F205" s="129"/>
      <c r="G205" s="8"/>
      <c r="L205" s="157"/>
    </row>
    <row r="206">
      <c r="B206" s="8"/>
      <c r="C206" s="8"/>
      <c r="D206" s="8"/>
      <c r="E206" s="68"/>
      <c r="F206" s="129"/>
      <c r="G206" s="8"/>
      <c r="L206" s="157"/>
    </row>
    <row r="207">
      <c r="B207" s="8"/>
      <c r="C207" s="8"/>
      <c r="D207" s="8"/>
      <c r="E207" s="68"/>
      <c r="F207" s="129"/>
      <c r="G207" s="8"/>
      <c r="L207" s="157"/>
    </row>
    <row r="208">
      <c r="B208" s="8"/>
      <c r="C208" s="8"/>
      <c r="D208" s="8"/>
      <c r="E208" s="68"/>
      <c r="F208" s="129"/>
      <c r="G208" s="8"/>
      <c r="L208" s="157"/>
    </row>
    <row r="209">
      <c r="B209" s="8"/>
      <c r="C209" s="8"/>
      <c r="D209" s="8"/>
      <c r="E209" s="68"/>
      <c r="F209" s="129"/>
      <c r="G209" s="8"/>
      <c r="L209" s="157"/>
    </row>
    <row r="210">
      <c r="B210" s="8"/>
      <c r="C210" s="8"/>
      <c r="D210" s="8"/>
      <c r="E210" s="68"/>
      <c r="F210" s="129"/>
      <c r="G210" s="8"/>
      <c r="L210" s="157"/>
    </row>
    <row r="211">
      <c r="B211" s="8"/>
      <c r="C211" s="8"/>
      <c r="D211" s="8"/>
      <c r="E211" s="68"/>
      <c r="F211" s="129"/>
      <c r="G211" s="8"/>
      <c r="L211" s="157"/>
    </row>
    <row r="212">
      <c r="B212" s="8"/>
      <c r="C212" s="8"/>
      <c r="D212" s="8"/>
      <c r="E212" s="68"/>
      <c r="F212" s="129"/>
      <c r="G212" s="8"/>
      <c r="L212" s="157"/>
    </row>
    <row r="213">
      <c r="B213" s="8"/>
      <c r="C213" s="8"/>
      <c r="D213" s="8"/>
      <c r="E213" s="68"/>
      <c r="F213" s="129"/>
      <c r="G213" s="8"/>
      <c r="L213" s="157"/>
    </row>
    <row r="214">
      <c r="B214" s="8"/>
      <c r="C214" s="8"/>
      <c r="D214" s="8"/>
      <c r="E214" s="68"/>
      <c r="F214" s="129"/>
      <c r="G214" s="8"/>
      <c r="L214" s="157"/>
    </row>
    <row r="215">
      <c r="B215" s="8"/>
      <c r="C215" s="8"/>
      <c r="D215" s="8"/>
      <c r="E215" s="68"/>
      <c r="F215" s="129"/>
      <c r="G215" s="8"/>
      <c r="L215" s="157"/>
    </row>
    <row r="216">
      <c r="B216" s="8"/>
      <c r="C216" s="8"/>
      <c r="D216" s="8"/>
      <c r="E216" s="68"/>
      <c r="F216" s="129"/>
      <c r="G216" s="8"/>
      <c r="L216" s="157"/>
    </row>
    <row r="217">
      <c r="B217" s="8"/>
      <c r="C217" s="8"/>
      <c r="D217" s="8"/>
      <c r="E217" s="68"/>
      <c r="F217" s="129"/>
      <c r="G217" s="8"/>
      <c r="L217" s="157"/>
    </row>
    <row r="218">
      <c r="B218" s="8"/>
      <c r="C218" s="8"/>
      <c r="D218" s="8"/>
      <c r="E218" s="68"/>
      <c r="F218" s="129"/>
      <c r="G218" s="8"/>
      <c r="L218" s="157"/>
    </row>
    <row r="219">
      <c r="B219" s="8"/>
      <c r="C219" s="8"/>
      <c r="D219" s="8"/>
      <c r="E219" s="68"/>
      <c r="F219" s="129"/>
      <c r="G219" s="8"/>
      <c r="L219" s="157"/>
    </row>
    <row r="220">
      <c r="B220" s="8"/>
      <c r="C220" s="8"/>
      <c r="D220" s="8"/>
      <c r="E220" s="68"/>
      <c r="F220" s="129"/>
      <c r="G220" s="8"/>
      <c r="L220" s="157"/>
    </row>
    <row r="221">
      <c r="B221" s="8"/>
      <c r="C221" s="8"/>
      <c r="D221" s="8"/>
      <c r="E221" s="68"/>
      <c r="F221" s="129"/>
      <c r="G221" s="8"/>
      <c r="L221" s="157"/>
    </row>
    <row r="222">
      <c r="B222" s="8"/>
      <c r="C222" s="8"/>
      <c r="D222" s="8"/>
      <c r="E222" s="68"/>
      <c r="F222" s="129"/>
      <c r="G222" s="8"/>
      <c r="L222" s="157"/>
    </row>
    <row r="223">
      <c r="B223" s="8"/>
      <c r="C223" s="8"/>
      <c r="D223" s="8"/>
      <c r="E223" s="68"/>
      <c r="F223" s="129"/>
      <c r="G223" s="8"/>
      <c r="L223" s="157"/>
    </row>
    <row r="224">
      <c r="B224" s="8"/>
      <c r="C224" s="8"/>
      <c r="D224" s="8"/>
      <c r="E224" s="68"/>
      <c r="F224" s="129"/>
      <c r="G224" s="8"/>
      <c r="L224" s="157"/>
    </row>
    <row r="225">
      <c r="B225" s="8"/>
      <c r="C225" s="8"/>
      <c r="D225" s="8"/>
      <c r="E225" s="68"/>
      <c r="F225" s="129"/>
      <c r="G225" s="8"/>
      <c r="L225" s="157"/>
    </row>
    <row r="226">
      <c r="B226" s="8"/>
      <c r="C226" s="8"/>
      <c r="D226" s="8"/>
      <c r="E226" s="68"/>
      <c r="F226" s="129"/>
      <c r="G226" s="8"/>
      <c r="L226" s="157"/>
    </row>
    <row r="227">
      <c r="B227" s="8"/>
      <c r="C227" s="8"/>
      <c r="D227" s="8"/>
      <c r="E227" s="68"/>
      <c r="F227" s="129"/>
      <c r="G227" s="8"/>
      <c r="L227" s="157"/>
    </row>
    <row r="228">
      <c r="B228" s="8"/>
      <c r="C228" s="8"/>
      <c r="D228" s="8"/>
      <c r="E228" s="68"/>
      <c r="F228" s="129"/>
      <c r="G228" s="8"/>
      <c r="L228" s="157"/>
    </row>
    <row r="229">
      <c r="B229" s="8"/>
      <c r="C229" s="8"/>
      <c r="D229" s="8"/>
      <c r="E229" s="68"/>
      <c r="F229" s="129"/>
      <c r="G229" s="8"/>
      <c r="L229" s="157"/>
    </row>
    <row r="230">
      <c r="B230" s="8"/>
      <c r="C230" s="8"/>
      <c r="D230" s="8"/>
      <c r="E230" s="68"/>
      <c r="F230" s="129"/>
      <c r="G230" s="8"/>
      <c r="L230" s="157"/>
    </row>
    <row r="231">
      <c r="B231" s="8"/>
      <c r="C231" s="8"/>
      <c r="D231" s="8"/>
      <c r="E231" s="68"/>
      <c r="F231" s="129"/>
      <c r="G231" s="8"/>
      <c r="L231" s="157"/>
    </row>
    <row r="232">
      <c r="B232" s="8"/>
      <c r="C232" s="8"/>
      <c r="D232" s="8"/>
      <c r="E232" s="68"/>
      <c r="F232" s="129"/>
      <c r="G232" s="8"/>
      <c r="L232" s="157"/>
    </row>
    <row r="233">
      <c r="B233" s="8"/>
      <c r="C233" s="8"/>
      <c r="D233" s="8"/>
      <c r="E233" s="68"/>
      <c r="F233" s="129"/>
      <c r="G233" s="8"/>
      <c r="L233" s="157"/>
    </row>
    <row r="234">
      <c r="B234" s="8"/>
      <c r="C234" s="8"/>
      <c r="D234" s="8"/>
      <c r="E234" s="68"/>
      <c r="F234" s="129"/>
      <c r="G234" s="8"/>
      <c r="L234" s="157"/>
    </row>
    <row r="235">
      <c r="B235" s="8"/>
      <c r="C235" s="8"/>
      <c r="D235" s="8"/>
      <c r="E235" s="68"/>
      <c r="F235" s="129"/>
      <c r="G235" s="8"/>
      <c r="L235" s="157"/>
    </row>
    <row r="236">
      <c r="B236" s="8"/>
      <c r="C236" s="8"/>
      <c r="D236" s="8"/>
      <c r="E236" s="68"/>
      <c r="F236" s="129"/>
      <c r="G236" s="8"/>
      <c r="L236" s="157"/>
    </row>
    <row r="237">
      <c r="B237" s="8"/>
      <c r="C237" s="8"/>
      <c r="D237" s="8"/>
      <c r="E237" s="68"/>
      <c r="F237" s="129"/>
      <c r="G237" s="8"/>
      <c r="L237" s="157"/>
    </row>
    <row r="238">
      <c r="B238" s="8"/>
      <c r="C238" s="8"/>
      <c r="D238" s="8"/>
      <c r="E238" s="68"/>
      <c r="F238" s="129"/>
      <c r="G238" s="8"/>
      <c r="L238" s="157"/>
    </row>
    <row r="239">
      <c r="B239" s="8"/>
      <c r="C239" s="8"/>
      <c r="D239" s="8"/>
      <c r="E239" s="68"/>
      <c r="F239" s="129"/>
      <c r="G239" s="8"/>
      <c r="L239" s="157"/>
    </row>
    <row r="240">
      <c r="B240" s="8"/>
      <c r="C240" s="8"/>
      <c r="D240" s="8"/>
      <c r="E240" s="68"/>
      <c r="F240" s="129"/>
      <c r="G240" s="8"/>
      <c r="L240" s="157"/>
    </row>
    <row r="241">
      <c r="B241" s="8"/>
      <c r="C241" s="8"/>
      <c r="D241" s="8"/>
      <c r="E241" s="68"/>
      <c r="F241" s="129"/>
      <c r="G241" s="8"/>
      <c r="L241" s="157"/>
    </row>
    <row r="242">
      <c r="B242" s="8"/>
      <c r="C242" s="8"/>
      <c r="D242" s="8"/>
      <c r="E242" s="68"/>
      <c r="F242" s="129"/>
      <c r="G242" s="8"/>
      <c r="L242" s="157"/>
    </row>
    <row r="243">
      <c r="B243" s="8"/>
      <c r="C243" s="8"/>
      <c r="D243" s="8"/>
      <c r="E243" s="68"/>
      <c r="F243" s="129"/>
      <c r="G243" s="8"/>
      <c r="L243" s="157"/>
    </row>
    <row r="244">
      <c r="B244" s="8"/>
      <c r="C244" s="8"/>
      <c r="D244" s="8"/>
      <c r="E244" s="68"/>
      <c r="F244" s="129"/>
      <c r="G244" s="8"/>
      <c r="L244" s="157"/>
    </row>
    <row r="245">
      <c r="B245" s="8"/>
      <c r="C245" s="8"/>
      <c r="D245" s="8"/>
      <c r="E245" s="68"/>
      <c r="F245" s="129"/>
      <c r="G245" s="8"/>
      <c r="L245" s="157"/>
    </row>
    <row r="246">
      <c r="B246" s="8"/>
      <c r="C246" s="8"/>
      <c r="D246" s="8"/>
      <c r="E246" s="68"/>
      <c r="F246" s="129"/>
      <c r="G246" s="8"/>
      <c r="L246" s="157"/>
    </row>
    <row r="247">
      <c r="B247" s="8"/>
      <c r="C247" s="8"/>
      <c r="D247" s="8"/>
      <c r="E247" s="68"/>
      <c r="F247" s="129"/>
      <c r="G247" s="8"/>
      <c r="L247" s="157"/>
    </row>
    <row r="248">
      <c r="B248" s="8"/>
      <c r="C248" s="8"/>
      <c r="D248" s="8"/>
      <c r="E248" s="68"/>
      <c r="F248" s="129"/>
      <c r="G248" s="8"/>
      <c r="L248" s="157"/>
    </row>
    <row r="249">
      <c r="B249" s="8"/>
      <c r="C249" s="8"/>
      <c r="D249" s="8"/>
      <c r="E249" s="68"/>
      <c r="F249" s="129"/>
      <c r="G249" s="8"/>
      <c r="L249" s="157"/>
    </row>
    <row r="250">
      <c r="B250" s="8"/>
      <c r="C250" s="8"/>
      <c r="D250" s="8"/>
      <c r="E250" s="68"/>
      <c r="F250" s="129"/>
      <c r="G250" s="8"/>
      <c r="L250" s="157"/>
    </row>
    <row r="251">
      <c r="B251" s="8"/>
      <c r="C251" s="8"/>
      <c r="D251" s="8"/>
      <c r="E251" s="68"/>
      <c r="F251" s="129"/>
      <c r="G251" s="8"/>
      <c r="L251" s="157"/>
    </row>
    <row r="252">
      <c r="B252" s="8"/>
      <c r="C252" s="8"/>
      <c r="D252" s="8"/>
      <c r="E252" s="68"/>
      <c r="F252" s="129"/>
      <c r="G252" s="8"/>
      <c r="L252" s="157"/>
    </row>
    <row r="253">
      <c r="B253" s="8"/>
      <c r="C253" s="8"/>
      <c r="D253" s="8"/>
      <c r="E253" s="68"/>
      <c r="F253" s="129"/>
      <c r="G253" s="8"/>
      <c r="L253" s="157"/>
    </row>
    <row r="254">
      <c r="B254" s="8"/>
      <c r="C254" s="8"/>
      <c r="D254" s="8"/>
      <c r="E254" s="68"/>
      <c r="F254" s="129"/>
      <c r="G254" s="8"/>
      <c r="L254" s="157"/>
    </row>
    <row r="255">
      <c r="B255" s="8"/>
      <c r="C255" s="8"/>
      <c r="D255" s="8"/>
      <c r="E255" s="68"/>
      <c r="F255" s="129"/>
      <c r="G255" s="8"/>
      <c r="L255" s="157"/>
    </row>
    <row r="256">
      <c r="B256" s="8"/>
      <c r="C256" s="8"/>
      <c r="D256" s="8"/>
      <c r="E256" s="68"/>
      <c r="F256" s="129"/>
      <c r="G256" s="8"/>
      <c r="L256" s="157"/>
    </row>
    <row r="257">
      <c r="B257" s="8"/>
      <c r="C257" s="8"/>
      <c r="D257" s="8"/>
      <c r="E257" s="68"/>
      <c r="F257" s="129"/>
      <c r="G257" s="8"/>
      <c r="L257" s="157"/>
    </row>
    <row r="258">
      <c r="B258" s="8"/>
      <c r="C258" s="8"/>
      <c r="D258" s="8"/>
      <c r="E258" s="68"/>
      <c r="F258" s="129"/>
      <c r="G258" s="8"/>
      <c r="L258" s="157"/>
    </row>
    <row r="259">
      <c r="B259" s="8"/>
      <c r="C259" s="8"/>
      <c r="D259" s="8"/>
      <c r="E259" s="68"/>
      <c r="F259" s="129"/>
      <c r="G259" s="8"/>
      <c r="L259" s="157"/>
    </row>
    <row r="260">
      <c r="B260" s="8"/>
      <c r="C260" s="8"/>
      <c r="D260" s="8"/>
      <c r="E260" s="68"/>
      <c r="F260" s="129"/>
      <c r="G260" s="8"/>
      <c r="L260" s="157"/>
    </row>
    <row r="261">
      <c r="B261" s="8"/>
      <c r="C261" s="8"/>
      <c r="D261" s="8"/>
      <c r="E261" s="68"/>
      <c r="F261" s="129"/>
      <c r="G261" s="8"/>
      <c r="L261" s="157"/>
    </row>
    <row r="262">
      <c r="B262" s="8"/>
      <c r="C262" s="8"/>
      <c r="D262" s="8"/>
      <c r="E262" s="68"/>
      <c r="F262" s="129"/>
      <c r="G262" s="8"/>
      <c r="L262" s="157"/>
    </row>
    <row r="263">
      <c r="B263" s="8"/>
      <c r="C263" s="8"/>
      <c r="D263" s="8"/>
      <c r="E263" s="68"/>
      <c r="F263" s="129"/>
      <c r="G263" s="8"/>
      <c r="L263" s="157"/>
    </row>
    <row r="264">
      <c r="B264" s="8"/>
      <c r="C264" s="8"/>
      <c r="D264" s="8"/>
      <c r="E264" s="68"/>
      <c r="F264" s="129"/>
      <c r="G264" s="8"/>
      <c r="L264" s="157"/>
    </row>
    <row r="265">
      <c r="B265" s="8"/>
      <c r="C265" s="8"/>
      <c r="D265" s="8"/>
      <c r="E265" s="68"/>
      <c r="F265" s="129"/>
      <c r="G265" s="8"/>
      <c r="L265" s="157"/>
    </row>
    <row r="266">
      <c r="B266" s="8"/>
      <c r="C266" s="8"/>
      <c r="D266" s="8"/>
      <c r="E266" s="68"/>
      <c r="F266" s="129"/>
      <c r="G266" s="8"/>
      <c r="L266" s="157"/>
    </row>
    <row r="267">
      <c r="B267" s="8"/>
      <c r="C267" s="8"/>
      <c r="D267" s="8"/>
      <c r="E267" s="68"/>
      <c r="F267" s="129"/>
      <c r="G267" s="8"/>
      <c r="L267" s="157"/>
    </row>
    <row r="268">
      <c r="B268" s="8"/>
      <c r="C268" s="8"/>
      <c r="D268" s="8"/>
      <c r="E268" s="68"/>
      <c r="F268" s="129"/>
      <c r="G268" s="8"/>
      <c r="L268" s="157"/>
    </row>
    <row r="269">
      <c r="B269" s="8"/>
      <c r="C269" s="8"/>
      <c r="D269" s="8"/>
      <c r="E269" s="68"/>
      <c r="F269" s="129"/>
      <c r="G269" s="8"/>
      <c r="L269" s="157"/>
    </row>
    <row r="270">
      <c r="B270" s="8"/>
      <c r="C270" s="8"/>
      <c r="D270" s="8"/>
      <c r="E270" s="68"/>
      <c r="F270" s="129"/>
      <c r="G270" s="8"/>
      <c r="L270" s="157"/>
    </row>
    <row r="271">
      <c r="B271" s="8"/>
      <c r="C271" s="8"/>
      <c r="D271" s="8"/>
      <c r="E271" s="68"/>
      <c r="F271" s="129"/>
      <c r="G271" s="8"/>
      <c r="L271" s="157"/>
    </row>
    <row r="272">
      <c r="B272" s="8"/>
      <c r="C272" s="8"/>
      <c r="D272" s="8"/>
      <c r="E272" s="68"/>
      <c r="F272" s="129"/>
      <c r="G272" s="8"/>
      <c r="L272" s="157"/>
    </row>
    <row r="273">
      <c r="B273" s="8"/>
      <c r="C273" s="8"/>
      <c r="D273" s="8"/>
      <c r="E273" s="68"/>
      <c r="F273" s="129"/>
      <c r="G273" s="8"/>
      <c r="L273" s="157"/>
    </row>
    <row r="274">
      <c r="B274" s="8"/>
      <c r="C274" s="8"/>
      <c r="D274" s="8"/>
      <c r="E274" s="68"/>
      <c r="F274" s="129"/>
      <c r="G274" s="8"/>
      <c r="L274" s="157"/>
    </row>
    <row r="275">
      <c r="B275" s="8"/>
      <c r="C275" s="8"/>
      <c r="D275" s="8"/>
      <c r="E275" s="68"/>
      <c r="F275" s="129"/>
      <c r="G275" s="8"/>
      <c r="L275" s="157"/>
    </row>
    <row r="276">
      <c r="B276" s="8"/>
      <c r="C276" s="8"/>
      <c r="D276" s="8"/>
      <c r="E276" s="68"/>
      <c r="F276" s="129"/>
      <c r="G276" s="8"/>
      <c r="L276" s="157"/>
    </row>
    <row r="277">
      <c r="B277" s="8"/>
      <c r="C277" s="8"/>
      <c r="D277" s="8"/>
      <c r="E277" s="68"/>
      <c r="F277" s="129"/>
      <c r="G277" s="8"/>
      <c r="L277" s="157"/>
    </row>
    <row r="278">
      <c r="B278" s="8"/>
      <c r="C278" s="8"/>
      <c r="D278" s="8"/>
      <c r="E278" s="68"/>
      <c r="F278" s="129"/>
      <c r="G278" s="8"/>
      <c r="L278" s="157"/>
    </row>
    <row r="279">
      <c r="B279" s="8"/>
      <c r="C279" s="8"/>
      <c r="D279" s="8"/>
      <c r="E279" s="68"/>
      <c r="F279" s="129"/>
      <c r="G279" s="8"/>
      <c r="L279" s="157"/>
    </row>
    <row r="280">
      <c r="B280" s="8"/>
      <c r="C280" s="8"/>
      <c r="D280" s="8"/>
      <c r="E280" s="68"/>
      <c r="F280" s="129"/>
      <c r="G280" s="8"/>
      <c r="L280" s="157"/>
    </row>
    <row r="281">
      <c r="B281" s="8"/>
      <c r="C281" s="8"/>
      <c r="D281" s="8"/>
      <c r="E281" s="68"/>
      <c r="F281" s="129"/>
      <c r="G281" s="8"/>
      <c r="L281" s="157"/>
    </row>
    <row r="282">
      <c r="B282" s="8"/>
      <c r="C282" s="8"/>
      <c r="D282" s="8"/>
      <c r="E282" s="68"/>
      <c r="F282" s="129"/>
      <c r="G282" s="8"/>
      <c r="L282" s="157"/>
    </row>
    <row r="283">
      <c r="B283" s="8"/>
      <c r="C283" s="8"/>
      <c r="D283" s="8"/>
      <c r="E283" s="68"/>
      <c r="F283" s="129"/>
      <c r="G283" s="8"/>
      <c r="L283" s="157"/>
    </row>
    <row r="284">
      <c r="B284" s="8"/>
      <c r="C284" s="8"/>
      <c r="D284" s="8"/>
      <c r="E284" s="68"/>
      <c r="F284" s="129"/>
      <c r="G284" s="8"/>
      <c r="L284" s="157"/>
    </row>
    <row r="285">
      <c r="B285" s="8"/>
      <c r="C285" s="8"/>
      <c r="D285" s="8"/>
      <c r="E285" s="68"/>
      <c r="F285" s="129"/>
      <c r="G285" s="8"/>
      <c r="L285" s="157"/>
    </row>
    <row r="286">
      <c r="B286" s="8"/>
      <c r="C286" s="8"/>
      <c r="D286" s="8"/>
      <c r="E286" s="68"/>
      <c r="F286" s="129"/>
      <c r="G286" s="8"/>
      <c r="L286" s="157"/>
    </row>
    <row r="287">
      <c r="B287" s="8"/>
      <c r="C287" s="8"/>
      <c r="D287" s="8"/>
      <c r="E287" s="68"/>
      <c r="F287" s="129"/>
      <c r="G287" s="8"/>
      <c r="L287" s="157"/>
    </row>
    <row r="288">
      <c r="B288" s="8"/>
      <c r="C288" s="8"/>
      <c r="D288" s="8"/>
      <c r="E288" s="68"/>
      <c r="F288" s="129"/>
      <c r="G288" s="8"/>
      <c r="L288" s="157"/>
    </row>
    <row r="289">
      <c r="B289" s="8"/>
      <c r="C289" s="8"/>
      <c r="D289" s="8"/>
      <c r="E289" s="68"/>
      <c r="F289" s="129"/>
      <c r="G289" s="8"/>
      <c r="L289" s="157"/>
    </row>
    <row r="290">
      <c r="B290" s="8"/>
      <c r="C290" s="8"/>
      <c r="D290" s="8"/>
      <c r="E290" s="68"/>
      <c r="F290" s="129"/>
      <c r="G290" s="8"/>
      <c r="L290" s="157"/>
    </row>
    <row r="291">
      <c r="B291" s="8"/>
      <c r="C291" s="8"/>
      <c r="D291" s="8"/>
      <c r="E291" s="68"/>
      <c r="F291" s="129"/>
      <c r="G291" s="8"/>
      <c r="L291" s="157"/>
    </row>
    <row r="292">
      <c r="B292" s="8"/>
      <c r="C292" s="8"/>
      <c r="D292" s="8"/>
      <c r="E292" s="68"/>
      <c r="F292" s="129"/>
      <c r="G292" s="8"/>
      <c r="L292" s="157"/>
    </row>
    <row r="293">
      <c r="B293" s="8"/>
      <c r="C293" s="8"/>
      <c r="D293" s="8"/>
      <c r="E293" s="68"/>
      <c r="F293" s="129"/>
      <c r="G293" s="8"/>
      <c r="L293" s="157"/>
    </row>
    <row r="294">
      <c r="B294" s="8"/>
      <c r="C294" s="8"/>
      <c r="D294" s="8"/>
      <c r="E294" s="68"/>
      <c r="F294" s="129"/>
      <c r="G294" s="8"/>
      <c r="L294" s="157"/>
    </row>
    <row r="295">
      <c r="B295" s="8"/>
      <c r="C295" s="8"/>
      <c r="D295" s="8"/>
      <c r="E295" s="68"/>
      <c r="F295" s="129"/>
      <c r="G295" s="8"/>
      <c r="L295" s="157"/>
    </row>
    <row r="296">
      <c r="B296" s="8"/>
      <c r="C296" s="8"/>
      <c r="D296" s="8"/>
      <c r="E296" s="68"/>
      <c r="F296" s="129"/>
      <c r="G296" s="8"/>
      <c r="L296" s="157"/>
    </row>
    <row r="297">
      <c r="B297" s="8"/>
      <c r="C297" s="8"/>
      <c r="D297" s="8"/>
      <c r="E297" s="68"/>
      <c r="F297" s="129"/>
      <c r="G297" s="8"/>
      <c r="L297" s="157"/>
    </row>
    <row r="298">
      <c r="B298" s="8"/>
      <c r="C298" s="8"/>
      <c r="D298" s="8"/>
      <c r="E298" s="68"/>
      <c r="F298" s="129"/>
      <c r="G298" s="8"/>
      <c r="L298" s="157"/>
    </row>
    <row r="299">
      <c r="B299" s="8"/>
      <c r="C299" s="8"/>
      <c r="D299" s="8"/>
      <c r="E299" s="68"/>
      <c r="F299" s="129"/>
      <c r="G299" s="8"/>
      <c r="L299" s="157"/>
    </row>
    <row r="300">
      <c r="B300" s="8"/>
      <c r="C300" s="8"/>
      <c r="D300" s="8"/>
      <c r="E300" s="68"/>
      <c r="F300" s="129"/>
      <c r="G300" s="8"/>
      <c r="L300" s="157"/>
    </row>
    <row r="301">
      <c r="B301" s="8"/>
      <c r="C301" s="8"/>
      <c r="D301" s="8"/>
      <c r="E301" s="68"/>
      <c r="F301" s="129"/>
      <c r="G301" s="8"/>
      <c r="L301" s="157"/>
    </row>
    <row r="302">
      <c r="B302" s="8"/>
      <c r="C302" s="8"/>
      <c r="D302" s="8"/>
      <c r="E302" s="68"/>
      <c r="F302" s="129"/>
      <c r="G302" s="8"/>
      <c r="L302" s="157"/>
    </row>
    <row r="303">
      <c r="B303" s="8"/>
      <c r="C303" s="8"/>
      <c r="D303" s="8"/>
      <c r="E303" s="68"/>
      <c r="F303" s="129"/>
      <c r="G303" s="8"/>
      <c r="L303" s="157"/>
    </row>
    <row r="304">
      <c r="B304" s="8"/>
      <c r="C304" s="8"/>
      <c r="D304" s="8"/>
      <c r="E304" s="68"/>
      <c r="F304" s="129"/>
      <c r="G304" s="8"/>
      <c r="L304" s="157"/>
    </row>
    <row r="305">
      <c r="B305" s="8"/>
      <c r="C305" s="8"/>
      <c r="D305" s="8"/>
      <c r="E305" s="68"/>
      <c r="F305" s="129"/>
      <c r="G305" s="8"/>
      <c r="L305" s="157"/>
    </row>
    <row r="306">
      <c r="B306" s="8"/>
      <c r="C306" s="8"/>
      <c r="D306" s="8"/>
      <c r="E306" s="68"/>
      <c r="F306" s="129"/>
      <c r="G306" s="8"/>
      <c r="L306" s="157"/>
    </row>
    <row r="307">
      <c r="B307" s="8"/>
      <c r="C307" s="8"/>
      <c r="D307" s="8"/>
      <c r="E307" s="68"/>
      <c r="F307" s="129"/>
      <c r="G307" s="8"/>
      <c r="L307" s="157"/>
    </row>
    <row r="308">
      <c r="B308" s="8"/>
      <c r="C308" s="8"/>
      <c r="D308" s="8"/>
      <c r="E308" s="68"/>
      <c r="F308" s="129"/>
      <c r="G308" s="8"/>
      <c r="L308" s="157"/>
    </row>
    <row r="309">
      <c r="B309" s="8"/>
      <c r="C309" s="8"/>
      <c r="D309" s="8"/>
      <c r="E309" s="68"/>
      <c r="F309" s="129"/>
      <c r="G309" s="8"/>
      <c r="L309" s="157"/>
    </row>
    <row r="310">
      <c r="B310" s="8"/>
      <c r="C310" s="8"/>
      <c r="D310" s="8"/>
      <c r="E310" s="68"/>
      <c r="F310" s="129"/>
      <c r="G310" s="8"/>
      <c r="L310" s="157"/>
    </row>
    <row r="311">
      <c r="B311" s="8"/>
      <c r="C311" s="8"/>
      <c r="D311" s="8"/>
      <c r="E311" s="68"/>
      <c r="F311" s="129"/>
      <c r="G311" s="8"/>
      <c r="L311" s="157"/>
    </row>
    <row r="312">
      <c r="B312" s="8"/>
      <c r="C312" s="8"/>
      <c r="D312" s="8"/>
      <c r="E312" s="68"/>
      <c r="F312" s="129"/>
      <c r="G312" s="8"/>
      <c r="L312" s="157"/>
    </row>
    <row r="313">
      <c r="B313" s="8"/>
      <c r="C313" s="8"/>
      <c r="D313" s="8"/>
      <c r="E313" s="68"/>
      <c r="F313" s="129"/>
      <c r="G313" s="8"/>
      <c r="L313" s="157"/>
    </row>
    <row r="314">
      <c r="B314" s="8"/>
      <c r="C314" s="8"/>
      <c r="D314" s="8"/>
      <c r="E314" s="68"/>
      <c r="F314" s="129"/>
      <c r="G314" s="8"/>
      <c r="L314" s="157"/>
    </row>
    <row r="315">
      <c r="B315" s="8"/>
      <c r="C315" s="8"/>
      <c r="D315" s="8"/>
      <c r="E315" s="68"/>
      <c r="F315" s="129"/>
      <c r="G315" s="8"/>
      <c r="L315" s="157"/>
    </row>
    <row r="316">
      <c r="B316" s="8"/>
      <c r="C316" s="8"/>
      <c r="D316" s="8"/>
      <c r="E316" s="68"/>
      <c r="F316" s="129"/>
      <c r="G316" s="8"/>
      <c r="L316" s="157"/>
    </row>
    <row r="317">
      <c r="B317" s="8"/>
      <c r="C317" s="8"/>
      <c r="D317" s="8"/>
      <c r="E317" s="68"/>
      <c r="F317" s="129"/>
      <c r="G317" s="8"/>
      <c r="L317" s="157"/>
    </row>
    <row r="318">
      <c r="B318" s="8"/>
      <c r="C318" s="8"/>
      <c r="D318" s="8"/>
      <c r="E318" s="68"/>
      <c r="F318" s="129"/>
      <c r="G318" s="8"/>
      <c r="L318" s="157"/>
    </row>
    <row r="319">
      <c r="B319" s="8"/>
      <c r="C319" s="8"/>
      <c r="D319" s="8"/>
      <c r="E319" s="68"/>
      <c r="F319" s="129"/>
      <c r="G319" s="8"/>
      <c r="L319" s="157"/>
    </row>
    <row r="320">
      <c r="B320" s="8"/>
      <c r="C320" s="8"/>
      <c r="D320" s="8"/>
      <c r="E320" s="68"/>
      <c r="F320" s="129"/>
      <c r="G320" s="8"/>
      <c r="L320" s="157"/>
    </row>
    <row r="321">
      <c r="B321" s="8"/>
      <c r="C321" s="8"/>
      <c r="D321" s="8"/>
      <c r="E321" s="68"/>
      <c r="F321" s="129"/>
      <c r="G321" s="8"/>
      <c r="L321" s="157"/>
    </row>
    <row r="322">
      <c r="B322" s="8"/>
      <c r="C322" s="8"/>
      <c r="D322" s="8"/>
      <c r="E322" s="68"/>
      <c r="F322" s="129"/>
      <c r="G322" s="8"/>
      <c r="L322" s="157"/>
    </row>
    <row r="323">
      <c r="B323" s="8"/>
      <c r="C323" s="8"/>
      <c r="D323" s="8"/>
      <c r="E323" s="68"/>
      <c r="F323" s="129"/>
      <c r="G323" s="8"/>
      <c r="L323" s="157"/>
    </row>
    <row r="324">
      <c r="B324" s="8"/>
      <c r="C324" s="8"/>
      <c r="D324" s="8"/>
      <c r="E324" s="68"/>
      <c r="F324" s="129"/>
      <c r="G324" s="8"/>
      <c r="L324" s="157"/>
    </row>
    <row r="325">
      <c r="B325" s="8"/>
      <c r="C325" s="8"/>
      <c r="D325" s="8"/>
      <c r="E325" s="68"/>
      <c r="F325" s="129"/>
      <c r="G325" s="8"/>
      <c r="L325" s="157"/>
    </row>
    <row r="326">
      <c r="B326" s="8"/>
      <c r="C326" s="8"/>
      <c r="D326" s="8"/>
      <c r="E326" s="68"/>
      <c r="F326" s="129"/>
      <c r="G326" s="8"/>
      <c r="L326" s="157"/>
    </row>
    <row r="327">
      <c r="B327" s="8"/>
      <c r="C327" s="8"/>
      <c r="D327" s="8"/>
      <c r="E327" s="68"/>
      <c r="F327" s="129"/>
      <c r="G327" s="8"/>
      <c r="L327" s="157"/>
    </row>
    <row r="328">
      <c r="B328" s="8"/>
      <c r="C328" s="8"/>
      <c r="D328" s="8"/>
      <c r="E328" s="68"/>
      <c r="F328" s="129"/>
      <c r="G328" s="8"/>
      <c r="L328" s="157"/>
    </row>
    <row r="329">
      <c r="B329" s="8"/>
      <c r="C329" s="8"/>
      <c r="D329" s="8"/>
      <c r="E329" s="68"/>
      <c r="F329" s="129"/>
      <c r="G329" s="8"/>
      <c r="L329" s="157"/>
    </row>
    <row r="330">
      <c r="B330" s="8"/>
      <c r="C330" s="8"/>
      <c r="D330" s="8"/>
      <c r="E330" s="68"/>
      <c r="F330" s="129"/>
      <c r="G330" s="8"/>
      <c r="L330" s="157"/>
    </row>
    <row r="331">
      <c r="B331" s="8"/>
      <c r="C331" s="8"/>
      <c r="D331" s="8"/>
      <c r="E331" s="68"/>
      <c r="F331" s="129"/>
      <c r="G331" s="8"/>
      <c r="L331" s="157"/>
    </row>
    <row r="332">
      <c r="B332" s="8"/>
      <c r="C332" s="8"/>
      <c r="D332" s="8"/>
      <c r="E332" s="68"/>
      <c r="F332" s="129"/>
      <c r="G332" s="8"/>
      <c r="L332" s="157"/>
    </row>
    <row r="333">
      <c r="B333" s="8"/>
      <c r="C333" s="8"/>
      <c r="D333" s="8"/>
      <c r="E333" s="68"/>
      <c r="F333" s="129"/>
      <c r="G333" s="8"/>
      <c r="L333" s="157"/>
    </row>
    <row r="334">
      <c r="B334" s="8"/>
      <c r="C334" s="8"/>
      <c r="D334" s="8"/>
      <c r="E334" s="68"/>
      <c r="F334" s="129"/>
      <c r="G334" s="8"/>
      <c r="L334" s="157"/>
    </row>
    <row r="335">
      <c r="B335" s="8"/>
      <c r="C335" s="8"/>
      <c r="D335" s="8"/>
      <c r="E335" s="68"/>
      <c r="F335" s="129"/>
      <c r="G335" s="8"/>
      <c r="L335" s="157"/>
    </row>
    <row r="336">
      <c r="B336" s="8"/>
      <c r="C336" s="8"/>
      <c r="D336" s="8"/>
      <c r="E336" s="68"/>
      <c r="F336" s="129"/>
      <c r="G336" s="8"/>
      <c r="L336" s="157"/>
    </row>
    <row r="337">
      <c r="B337" s="8"/>
      <c r="C337" s="8"/>
      <c r="D337" s="8"/>
      <c r="E337" s="68"/>
      <c r="F337" s="129"/>
      <c r="G337" s="8"/>
      <c r="L337" s="157"/>
    </row>
    <row r="338">
      <c r="B338" s="8"/>
      <c r="C338" s="8"/>
      <c r="D338" s="8"/>
      <c r="E338" s="68"/>
      <c r="F338" s="129"/>
      <c r="G338" s="8"/>
      <c r="L338" s="157"/>
    </row>
    <row r="339">
      <c r="B339" s="8"/>
      <c r="C339" s="8"/>
      <c r="D339" s="8"/>
      <c r="E339" s="68"/>
      <c r="F339" s="129"/>
      <c r="G339" s="8"/>
      <c r="L339" s="157"/>
    </row>
    <row r="340">
      <c r="B340" s="8"/>
      <c r="C340" s="8"/>
      <c r="D340" s="8"/>
      <c r="E340" s="68"/>
      <c r="F340" s="129"/>
      <c r="G340" s="8"/>
      <c r="L340" s="157"/>
    </row>
    <row r="341">
      <c r="B341" s="8"/>
      <c r="C341" s="8"/>
      <c r="D341" s="8"/>
      <c r="E341" s="68"/>
      <c r="F341" s="129"/>
      <c r="G341" s="8"/>
      <c r="L341" s="157"/>
    </row>
    <row r="342">
      <c r="B342" s="8"/>
      <c r="C342" s="8"/>
      <c r="D342" s="8"/>
      <c r="E342" s="68"/>
      <c r="F342" s="129"/>
      <c r="G342" s="8"/>
      <c r="L342" s="157"/>
    </row>
    <row r="343">
      <c r="B343" s="8"/>
      <c r="C343" s="8"/>
      <c r="D343" s="8"/>
      <c r="E343" s="68"/>
      <c r="F343" s="129"/>
      <c r="G343" s="8"/>
      <c r="L343" s="157"/>
    </row>
    <row r="344">
      <c r="B344" s="8"/>
      <c r="C344" s="8"/>
      <c r="D344" s="8"/>
      <c r="E344" s="68"/>
      <c r="F344" s="129"/>
      <c r="G344" s="8"/>
      <c r="L344" s="157"/>
    </row>
    <row r="345">
      <c r="B345" s="8"/>
      <c r="C345" s="8"/>
      <c r="D345" s="8"/>
      <c r="E345" s="68"/>
      <c r="F345" s="129"/>
      <c r="G345" s="8"/>
      <c r="L345" s="157"/>
    </row>
    <row r="346">
      <c r="B346" s="8"/>
      <c r="C346" s="8"/>
      <c r="D346" s="8"/>
      <c r="E346" s="68"/>
      <c r="F346" s="129"/>
      <c r="G346" s="8"/>
      <c r="L346" s="157"/>
    </row>
    <row r="347">
      <c r="B347" s="8"/>
      <c r="C347" s="8"/>
      <c r="D347" s="8"/>
      <c r="E347" s="68"/>
      <c r="F347" s="129"/>
      <c r="G347" s="8"/>
      <c r="L347" s="157"/>
    </row>
    <row r="348">
      <c r="B348" s="8"/>
      <c r="C348" s="8"/>
      <c r="D348" s="8"/>
      <c r="E348" s="68"/>
      <c r="F348" s="129"/>
      <c r="G348" s="8"/>
      <c r="L348" s="157"/>
    </row>
    <row r="349">
      <c r="B349" s="8"/>
      <c r="C349" s="8"/>
      <c r="D349" s="8"/>
      <c r="E349" s="68"/>
      <c r="F349" s="129"/>
      <c r="G349" s="8"/>
      <c r="L349" s="157"/>
    </row>
    <row r="350">
      <c r="B350" s="8"/>
      <c r="C350" s="8"/>
      <c r="D350" s="8"/>
      <c r="E350" s="68"/>
      <c r="F350" s="129"/>
      <c r="G350" s="8"/>
      <c r="L350" s="157"/>
    </row>
    <row r="351">
      <c r="B351" s="8"/>
      <c r="C351" s="8"/>
      <c r="D351" s="8"/>
      <c r="E351" s="68"/>
      <c r="F351" s="129"/>
      <c r="G351" s="8"/>
      <c r="L351" s="157"/>
    </row>
    <row r="352">
      <c r="B352" s="8"/>
      <c r="C352" s="8"/>
      <c r="D352" s="8"/>
      <c r="E352" s="68"/>
      <c r="F352" s="129"/>
      <c r="G352" s="8"/>
      <c r="L352" s="157"/>
    </row>
    <row r="353">
      <c r="B353" s="8"/>
      <c r="C353" s="8"/>
      <c r="D353" s="8"/>
      <c r="E353" s="68"/>
      <c r="F353" s="129"/>
      <c r="G353" s="8"/>
      <c r="L353" s="157"/>
    </row>
    <row r="354">
      <c r="B354" s="8"/>
      <c r="C354" s="8"/>
      <c r="D354" s="8"/>
      <c r="E354" s="68"/>
      <c r="F354" s="129"/>
      <c r="G354" s="8"/>
      <c r="L354" s="157"/>
    </row>
    <row r="355">
      <c r="B355" s="8"/>
      <c r="C355" s="8"/>
      <c r="D355" s="8"/>
      <c r="E355" s="68"/>
      <c r="F355" s="129"/>
      <c r="G355" s="8"/>
      <c r="L355" s="157"/>
    </row>
    <row r="356">
      <c r="B356" s="8"/>
      <c r="C356" s="8"/>
      <c r="D356" s="8"/>
      <c r="E356" s="68"/>
      <c r="F356" s="129"/>
      <c r="G356" s="8"/>
      <c r="L356" s="157"/>
    </row>
    <row r="357">
      <c r="B357" s="8"/>
      <c r="C357" s="8"/>
      <c r="D357" s="8"/>
      <c r="E357" s="68"/>
      <c r="F357" s="129"/>
      <c r="G357" s="8"/>
      <c r="L357" s="157"/>
    </row>
    <row r="358">
      <c r="B358" s="8"/>
      <c r="C358" s="8"/>
      <c r="D358" s="8"/>
      <c r="E358" s="68"/>
      <c r="F358" s="129"/>
      <c r="G358" s="8"/>
      <c r="L358" s="157"/>
    </row>
    <row r="359">
      <c r="B359" s="8"/>
      <c r="C359" s="8"/>
      <c r="D359" s="8"/>
      <c r="E359" s="68"/>
      <c r="F359" s="129"/>
      <c r="G359" s="8"/>
      <c r="L359" s="157"/>
    </row>
    <row r="360">
      <c r="B360" s="8"/>
      <c r="C360" s="8"/>
      <c r="D360" s="8"/>
      <c r="E360" s="68"/>
      <c r="F360" s="129"/>
      <c r="G360" s="8"/>
      <c r="L360" s="157"/>
    </row>
    <row r="361">
      <c r="B361" s="8"/>
      <c r="C361" s="8"/>
      <c r="D361" s="8"/>
      <c r="E361" s="68"/>
      <c r="F361" s="129"/>
      <c r="G361" s="8"/>
      <c r="L361" s="157"/>
    </row>
    <row r="362">
      <c r="B362" s="8"/>
      <c r="C362" s="8"/>
      <c r="D362" s="8"/>
      <c r="E362" s="68"/>
      <c r="F362" s="129"/>
      <c r="G362" s="8"/>
      <c r="L362" s="157"/>
    </row>
    <row r="363">
      <c r="B363" s="8"/>
      <c r="C363" s="8"/>
      <c r="D363" s="8"/>
      <c r="E363" s="68"/>
      <c r="F363" s="129"/>
      <c r="G363" s="8"/>
      <c r="L363" s="157"/>
    </row>
    <row r="364">
      <c r="B364" s="8"/>
      <c r="C364" s="8"/>
      <c r="D364" s="8"/>
      <c r="E364" s="68"/>
      <c r="F364" s="129"/>
      <c r="G364" s="8"/>
      <c r="L364" s="157"/>
    </row>
    <row r="365">
      <c r="B365" s="8"/>
      <c r="C365" s="8"/>
      <c r="D365" s="8"/>
      <c r="E365" s="68"/>
      <c r="F365" s="129"/>
      <c r="G365" s="8"/>
      <c r="L365" s="157"/>
    </row>
    <row r="366">
      <c r="B366" s="8"/>
      <c r="C366" s="8"/>
      <c r="D366" s="8"/>
      <c r="E366" s="68"/>
      <c r="F366" s="129"/>
      <c r="G366" s="8"/>
      <c r="L366" s="157"/>
    </row>
    <row r="367">
      <c r="B367" s="8"/>
      <c r="C367" s="8"/>
      <c r="D367" s="8"/>
      <c r="E367" s="68"/>
      <c r="F367" s="129"/>
      <c r="G367" s="8"/>
      <c r="L367" s="157"/>
    </row>
    <row r="368">
      <c r="B368" s="8"/>
      <c r="C368" s="8"/>
      <c r="D368" s="8"/>
      <c r="E368" s="68"/>
      <c r="F368" s="129"/>
      <c r="G368" s="8"/>
      <c r="L368" s="157"/>
    </row>
    <row r="369">
      <c r="B369" s="8"/>
      <c r="C369" s="8"/>
      <c r="D369" s="8"/>
      <c r="E369" s="68"/>
      <c r="F369" s="129"/>
      <c r="G369" s="8"/>
      <c r="L369" s="157"/>
    </row>
    <row r="370">
      <c r="B370" s="8"/>
      <c r="C370" s="8"/>
      <c r="D370" s="8"/>
      <c r="E370" s="68"/>
      <c r="F370" s="129"/>
      <c r="G370" s="8"/>
      <c r="L370" s="157"/>
    </row>
    <row r="371">
      <c r="B371" s="8"/>
      <c r="C371" s="8"/>
      <c r="D371" s="8"/>
      <c r="E371" s="68"/>
      <c r="F371" s="129"/>
      <c r="G371" s="8"/>
      <c r="L371" s="157"/>
    </row>
    <row r="372">
      <c r="B372" s="8"/>
      <c r="C372" s="8"/>
      <c r="D372" s="8"/>
      <c r="E372" s="68"/>
      <c r="F372" s="129"/>
      <c r="G372" s="8"/>
      <c r="L372" s="157"/>
    </row>
    <row r="373">
      <c r="B373" s="8"/>
      <c r="C373" s="8"/>
      <c r="D373" s="8"/>
      <c r="E373" s="68"/>
      <c r="F373" s="129"/>
      <c r="G373" s="8"/>
      <c r="L373" s="157"/>
    </row>
    <row r="374">
      <c r="B374" s="8"/>
      <c r="C374" s="8"/>
      <c r="D374" s="8"/>
      <c r="E374" s="68"/>
      <c r="F374" s="129"/>
      <c r="G374" s="8"/>
      <c r="L374" s="157"/>
    </row>
    <row r="375">
      <c r="B375" s="8"/>
      <c r="C375" s="8"/>
      <c r="D375" s="8"/>
      <c r="E375" s="68"/>
      <c r="F375" s="129"/>
      <c r="G375" s="8"/>
      <c r="L375" s="157"/>
    </row>
    <row r="376">
      <c r="B376" s="8"/>
      <c r="C376" s="8"/>
      <c r="D376" s="8"/>
      <c r="E376" s="68"/>
      <c r="F376" s="129"/>
      <c r="G376" s="8"/>
      <c r="L376" s="157"/>
    </row>
    <row r="377">
      <c r="B377" s="8"/>
      <c r="C377" s="8"/>
      <c r="D377" s="8"/>
      <c r="E377" s="68"/>
      <c r="F377" s="129"/>
      <c r="G377" s="8"/>
      <c r="L377" s="157"/>
    </row>
    <row r="378">
      <c r="B378" s="8"/>
      <c r="C378" s="8"/>
      <c r="D378" s="8"/>
      <c r="E378" s="68"/>
      <c r="F378" s="129"/>
      <c r="G378" s="8"/>
      <c r="L378" s="157"/>
    </row>
    <row r="379">
      <c r="B379" s="8"/>
      <c r="C379" s="8"/>
      <c r="D379" s="8"/>
      <c r="E379" s="68"/>
      <c r="F379" s="129"/>
      <c r="G379" s="8"/>
      <c r="L379" s="157"/>
    </row>
    <row r="380">
      <c r="B380" s="8"/>
      <c r="C380" s="8"/>
      <c r="D380" s="8"/>
      <c r="E380" s="68"/>
      <c r="F380" s="129"/>
      <c r="G380" s="8"/>
      <c r="L380" s="157"/>
    </row>
    <row r="381">
      <c r="B381" s="8"/>
      <c r="C381" s="8"/>
      <c r="D381" s="8"/>
      <c r="E381" s="68"/>
      <c r="F381" s="129"/>
      <c r="G381" s="8"/>
      <c r="L381" s="157"/>
    </row>
    <row r="382">
      <c r="B382" s="8"/>
      <c r="C382" s="8"/>
      <c r="D382" s="8"/>
      <c r="E382" s="68"/>
      <c r="F382" s="129"/>
      <c r="G382" s="8"/>
      <c r="L382" s="157"/>
    </row>
    <row r="383">
      <c r="B383" s="8"/>
      <c r="C383" s="8"/>
      <c r="D383" s="8"/>
      <c r="E383" s="68"/>
      <c r="F383" s="129"/>
      <c r="G383" s="8"/>
      <c r="L383" s="157"/>
    </row>
    <row r="384">
      <c r="B384" s="8"/>
      <c r="C384" s="8"/>
      <c r="D384" s="8"/>
      <c r="E384" s="68"/>
      <c r="F384" s="129"/>
      <c r="G384" s="8"/>
      <c r="L384" s="157"/>
    </row>
    <row r="385">
      <c r="B385" s="8"/>
      <c r="C385" s="8"/>
      <c r="D385" s="8"/>
      <c r="E385" s="68"/>
      <c r="F385" s="129"/>
      <c r="G385" s="8"/>
      <c r="L385" s="157"/>
    </row>
    <row r="386">
      <c r="B386" s="8"/>
      <c r="C386" s="8"/>
      <c r="D386" s="8"/>
      <c r="E386" s="68"/>
      <c r="F386" s="129"/>
      <c r="G386" s="8"/>
      <c r="L386" s="157"/>
    </row>
    <row r="387">
      <c r="B387" s="8"/>
      <c r="C387" s="8"/>
      <c r="D387" s="8"/>
      <c r="E387" s="68"/>
      <c r="F387" s="129"/>
      <c r="G387" s="8"/>
      <c r="L387" s="157"/>
    </row>
    <row r="388">
      <c r="B388" s="8"/>
      <c r="C388" s="8"/>
      <c r="D388" s="8"/>
      <c r="E388" s="68"/>
      <c r="F388" s="129"/>
      <c r="G388" s="8"/>
      <c r="L388" s="157"/>
    </row>
    <row r="389">
      <c r="B389" s="8"/>
      <c r="C389" s="8"/>
      <c r="D389" s="8"/>
      <c r="E389" s="68"/>
      <c r="F389" s="129"/>
      <c r="G389" s="8"/>
      <c r="L389" s="157"/>
    </row>
    <row r="390">
      <c r="B390" s="8"/>
      <c r="C390" s="8"/>
      <c r="D390" s="8"/>
      <c r="E390" s="68"/>
      <c r="F390" s="129"/>
      <c r="G390" s="8"/>
      <c r="L390" s="157"/>
    </row>
    <row r="391">
      <c r="B391" s="8"/>
      <c r="C391" s="8"/>
      <c r="D391" s="8"/>
      <c r="E391" s="68"/>
      <c r="F391" s="129"/>
      <c r="G391" s="8"/>
      <c r="L391" s="157"/>
    </row>
    <row r="392">
      <c r="B392" s="8"/>
      <c r="C392" s="8"/>
      <c r="D392" s="8"/>
      <c r="E392" s="68"/>
      <c r="F392" s="129"/>
      <c r="G392" s="8"/>
      <c r="L392" s="157"/>
    </row>
    <row r="393">
      <c r="B393" s="8"/>
      <c r="C393" s="8"/>
      <c r="D393" s="8"/>
      <c r="E393" s="68"/>
      <c r="F393" s="129"/>
      <c r="G393" s="8"/>
      <c r="L393" s="157"/>
    </row>
    <row r="394">
      <c r="B394" s="8"/>
      <c r="C394" s="8"/>
      <c r="D394" s="8"/>
      <c r="E394" s="68"/>
      <c r="F394" s="129"/>
      <c r="G394" s="8"/>
      <c r="L394" s="157"/>
    </row>
    <row r="395">
      <c r="B395" s="8"/>
      <c r="C395" s="8"/>
      <c r="D395" s="8"/>
      <c r="E395" s="68"/>
      <c r="F395" s="129"/>
      <c r="G395" s="8"/>
      <c r="L395" s="157"/>
    </row>
    <row r="396">
      <c r="B396" s="8"/>
      <c r="C396" s="8"/>
      <c r="D396" s="8"/>
      <c r="E396" s="68"/>
      <c r="F396" s="129"/>
      <c r="G396" s="8"/>
      <c r="L396" s="157"/>
    </row>
    <row r="397">
      <c r="B397" s="8"/>
      <c r="C397" s="8"/>
      <c r="D397" s="8"/>
      <c r="E397" s="68"/>
      <c r="F397" s="129"/>
      <c r="G397" s="8"/>
      <c r="L397" s="157"/>
    </row>
    <row r="398">
      <c r="B398" s="8"/>
      <c r="C398" s="8"/>
      <c r="D398" s="8"/>
      <c r="E398" s="68"/>
      <c r="F398" s="129"/>
      <c r="G398" s="8"/>
      <c r="L398" s="157"/>
    </row>
    <row r="399">
      <c r="B399" s="8"/>
      <c r="C399" s="8"/>
      <c r="D399" s="8"/>
      <c r="E399" s="68"/>
      <c r="F399" s="129"/>
      <c r="G399" s="8"/>
      <c r="L399" s="157"/>
    </row>
    <row r="400">
      <c r="B400" s="8"/>
      <c r="C400" s="8"/>
      <c r="D400" s="8"/>
      <c r="E400" s="68"/>
      <c r="F400" s="129"/>
      <c r="G400" s="8"/>
      <c r="L400" s="157"/>
    </row>
    <row r="401">
      <c r="B401" s="8"/>
      <c r="C401" s="8"/>
      <c r="D401" s="8"/>
      <c r="E401" s="68"/>
      <c r="F401" s="129"/>
      <c r="G401" s="8"/>
      <c r="L401" s="157"/>
    </row>
    <row r="402">
      <c r="B402" s="8"/>
      <c r="C402" s="8"/>
      <c r="D402" s="8"/>
      <c r="E402" s="68"/>
      <c r="F402" s="129"/>
      <c r="G402" s="8"/>
      <c r="L402" s="157"/>
    </row>
    <row r="403">
      <c r="B403" s="8"/>
      <c r="C403" s="8"/>
      <c r="D403" s="8"/>
      <c r="E403" s="68"/>
      <c r="F403" s="129"/>
      <c r="G403" s="8"/>
      <c r="L403" s="157"/>
    </row>
    <row r="404">
      <c r="B404" s="8"/>
      <c r="C404" s="8"/>
      <c r="D404" s="8"/>
      <c r="E404" s="68"/>
      <c r="F404" s="129"/>
      <c r="G404" s="8"/>
      <c r="L404" s="157"/>
    </row>
    <row r="405">
      <c r="B405" s="8"/>
      <c r="C405" s="8"/>
      <c r="D405" s="8"/>
      <c r="E405" s="68"/>
      <c r="F405" s="129"/>
      <c r="G405" s="8"/>
      <c r="L405" s="157"/>
    </row>
    <row r="406">
      <c r="B406" s="8"/>
      <c r="C406" s="8"/>
      <c r="D406" s="8"/>
      <c r="E406" s="68"/>
      <c r="F406" s="129"/>
      <c r="G406" s="8"/>
      <c r="L406" s="157"/>
    </row>
    <row r="407">
      <c r="B407" s="8"/>
      <c r="C407" s="8"/>
      <c r="D407" s="8"/>
      <c r="E407" s="68"/>
      <c r="F407" s="129"/>
      <c r="G407" s="8"/>
      <c r="L407" s="157"/>
    </row>
    <row r="408">
      <c r="B408" s="8"/>
      <c r="C408" s="8"/>
      <c r="D408" s="8"/>
      <c r="E408" s="68"/>
      <c r="F408" s="129"/>
      <c r="G408" s="8"/>
      <c r="L408" s="157"/>
    </row>
    <row r="409">
      <c r="B409" s="8"/>
      <c r="C409" s="8"/>
      <c r="D409" s="8"/>
      <c r="E409" s="68"/>
      <c r="F409" s="129"/>
      <c r="G409" s="8"/>
      <c r="L409" s="157"/>
    </row>
    <row r="410">
      <c r="B410" s="8"/>
      <c r="C410" s="8"/>
      <c r="D410" s="8"/>
      <c r="E410" s="68"/>
      <c r="F410" s="129"/>
      <c r="G410" s="8"/>
      <c r="L410" s="157"/>
    </row>
    <row r="411">
      <c r="B411" s="8"/>
      <c r="C411" s="8"/>
      <c r="D411" s="8"/>
      <c r="E411" s="68"/>
      <c r="F411" s="129"/>
      <c r="G411" s="8"/>
      <c r="L411" s="157"/>
    </row>
    <row r="412">
      <c r="B412" s="8"/>
      <c r="C412" s="8"/>
      <c r="D412" s="8"/>
      <c r="E412" s="68"/>
      <c r="F412" s="129"/>
      <c r="G412" s="8"/>
      <c r="L412" s="157"/>
    </row>
    <row r="413">
      <c r="B413" s="8"/>
      <c r="C413" s="8"/>
      <c r="D413" s="8"/>
      <c r="E413" s="68"/>
      <c r="F413" s="129"/>
      <c r="G413" s="8"/>
      <c r="L413" s="157"/>
    </row>
    <row r="414">
      <c r="B414" s="8"/>
      <c r="C414" s="8"/>
      <c r="D414" s="8"/>
      <c r="E414" s="68"/>
      <c r="F414" s="129"/>
      <c r="G414" s="8"/>
      <c r="L414" s="157"/>
    </row>
    <row r="415">
      <c r="B415" s="8"/>
      <c r="C415" s="8"/>
      <c r="D415" s="8"/>
      <c r="E415" s="68"/>
      <c r="F415" s="129"/>
      <c r="G415" s="8"/>
      <c r="L415" s="157"/>
    </row>
    <row r="416">
      <c r="B416" s="8"/>
      <c r="C416" s="8"/>
      <c r="D416" s="8"/>
      <c r="E416" s="68"/>
      <c r="F416" s="129"/>
      <c r="G416" s="8"/>
      <c r="L416" s="157"/>
    </row>
    <row r="417">
      <c r="B417" s="8"/>
      <c r="C417" s="8"/>
      <c r="D417" s="8"/>
      <c r="E417" s="68"/>
      <c r="F417" s="129"/>
      <c r="G417" s="8"/>
      <c r="L417" s="157"/>
    </row>
    <row r="418">
      <c r="B418" s="8"/>
      <c r="C418" s="8"/>
      <c r="D418" s="8"/>
      <c r="E418" s="68"/>
      <c r="F418" s="129"/>
      <c r="G418" s="8"/>
      <c r="L418" s="157"/>
    </row>
    <row r="419">
      <c r="B419" s="8"/>
      <c r="C419" s="8"/>
      <c r="D419" s="8"/>
      <c r="E419" s="68"/>
      <c r="F419" s="129"/>
      <c r="G419" s="8"/>
      <c r="L419" s="157"/>
    </row>
    <row r="420">
      <c r="B420" s="8"/>
      <c r="C420" s="8"/>
      <c r="D420" s="8"/>
      <c r="E420" s="68"/>
      <c r="F420" s="129"/>
      <c r="G420" s="8"/>
      <c r="L420" s="157"/>
    </row>
    <row r="421">
      <c r="B421" s="8"/>
      <c r="C421" s="8"/>
      <c r="D421" s="8"/>
      <c r="E421" s="68"/>
      <c r="F421" s="129"/>
      <c r="G421" s="8"/>
      <c r="L421" s="157"/>
    </row>
    <row r="422">
      <c r="B422" s="8"/>
      <c r="C422" s="8"/>
      <c r="D422" s="8"/>
      <c r="E422" s="68"/>
      <c r="F422" s="129"/>
      <c r="G422" s="8"/>
      <c r="L422" s="157"/>
    </row>
    <row r="423">
      <c r="B423" s="8"/>
      <c r="C423" s="8"/>
      <c r="D423" s="8"/>
      <c r="E423" s="68"/>
      <c r="F423" s="129"/>
      <c r="G423" s="8"/>
      <c r="L423" s="157"/>
    </row>
    <row r="424">
      <c r="B424" s="8"/>
      <c r="C424" s="8"/>
      <c r="D424" s="8"/>
      <c r="E424" s="68"/>
      <c r="F424" s="129"/>
      <c r="G424" s="8"/>
      <c r="L424" s="157"/>
    </row>
    <row r="425">
      <c r="B425" s="8"/>
      <c r="C425" s="8"/>
      <c r="D425" s="8"/>
      <c r="E425" s="68"/>
      <c r="F425" s="129"/>
      <c r="G425" s="8"/>
      <c r="L425" s="157"/>
    </row>
    <row r="426">
      <c r="B426" s="8"/>
      <c r="C426" s="8"/>
      <c r="D426" s="8"/>
      <c r="E426" s="68"/>
      <c r="F426" s="129"/>
      <c r="G426" s="8"/>
      <c r="L426" s="157"/>
    </row>
    <row r="427">
      <c r="B427" s="8"/>
      <c r="C427" s="8"/>
      <c r="D427" s="8"/>
      <c r="E427" s="68"/>
      <c r="F427" s="129"/>
      <c r="G427" s="8"/>
      <c r="L427" s="157"/>
    </row>
    <row r="428">
      <c r="B428" s="8"/>
      <c r="C428" s="8"/>
      <c r="D428" s="8"/>
      <c r="E428" s="68"/>
      <c r="F428" s="129"/>
      <c r="G428" s="8"/>
      <c r="L428" s="157"/>
    </row>
    <row r="429">
      <c r="B429" s="8"/>
      <c r="C429" s="8"/>
      <c r="D429" s="8"/>
      <c r="E429" s="68"/>
      <c r="F429" s="129"/>
      <c r="G429" s="8"/>
      <c r="L429" s="157"/>
    </row>
    <row r="430">
      <c r="B430" s="8"/>
      <c r="C430" s="8"/>
      <c r="D430" s="8"/>
      <c r="E430" s="68"/>
      <c r="F430" s="129"/>
      <c r="G430" s="8"/>
      <c r="L430" s="157"/>
    </row>
    <row r="431">
      <c r="B431" s="8"/>
      <c r="C431" s="8"/>
      <c r="D431" s="8"/>
      <c r="E431" s="68"/>
      <c r="F431" s="129"/>
      <c r="G431" s="8"/>
      <c r="L431" s="157"/>
    </row>
    <row r="432">
      <c r="B432" s="8"/>
      <c r="C432" s="8"/>
      <c r="D432" s="8"/>
      <c r="E432" s="68"/>
      <c r="F432" s="129"/>
      <c r="G432" s="8"/>
      <c r="L432" s="157"/>
    </row>
    <row r="433">
      <c r="B433" s="8"/>
      <c r="C433" s="8"/>
      <c r="D433" s="8"/>
      <c r="E433" s="68"/>
      <c r="F433" s="129"/>
      <c r="G433" s="8"/>
      <c r="L433" s="157"/>
    </row>
    <row r="434">
      <c r="B434" s="8"/>
      <c r="C434" s="8"/>
      <c r="D434" s="8"/>
      <c r="E434" s="68"/>
      <c r="F434" s="129"/>
      <c r="G434" s="8"/>
      <c r="L434" s="157"/>
    </row>
    <row r="435">
      <c r="B435" s="8"/>
      <c r="C435" s="8"/>
      <c r="D435" s="8"/>
      <c r="E435" s="68"/>
      <c r="F435" s="129"/>
      <c r="G435" s="8"/>
      <c r="L435" s="157"/>
    </row>
    <row r="436">
      <c r="B436" s="8"/>
      <c r="C436" s="8"/>
      <c r="D436" s="8"/>
      <c r="E436" s="68"/>
      <c r="F436" s="129"/>
      <c r="G436" s="8"/>
      <c r="L436" s="157"/>
    </row>
    <row r="437">
      <c r="B437" s="8"/>
      <c r="C437" s="8"/>
      <c r="D437" s="8"/>
      <c r="E437" s="68"/>
      <c r="F437" s="129"/>
      <c r="G437" s="8"/>
      <c r="L437" s="157"/>
    </row>
    <row r="438">
      <c r="B438" s="8"/>
      <c r="C438" s="8"/>
      <c r="D438" s="8"/>
      <c r="E438" s="68"/>
      <c r="F438" s="129"/>
      <c r="G438" s="8"/>
      <c r="L438" s="157"/>
    </row>
    <row r="439">
      <c r="B439" s="8"/>
      <c r="C439" s="8"/>
      <c r="D439" s="8"/>
      <c r="E439" s="68"/>
      <c r="F439" s="129"/>
      <c r="G439" s="8"/>
      <c r="L439" s="157"/>
    </row>
    <row r="440">
      <c r="B440" s="8"/>
      <c r="C440" s="8"/>
      <c r="D440" s="8"/>
      <c r="E440" s="68"/>
      <c r="F440" s="129"/>
      <c r="G440" s="8"/>
      <c r="L440" s="157"/>
    </row>
    <row r="441">
      <c r="B441" s="8"/>
      <c r="C441" s="8"/>
      <c r="D441" s="8"/>
      <c r="E441" s="68"/>
      <c r="F441" s="129"/>
      <c r="G441" s="8"/>
      <c r="L441" s="157"/>
    </row>
    <row r="442">
      <c r="B442" s="8"/>
      <c r="C442" s="8"/>
      <c r="D442" s="8"/>
      <c r="E442" s="68"/>
      <c r="F442" s="129"/>
      <c r="G442" s="8"/>
      <c r="L442" s="157"/>
    </row>
    <row r="443">
      <c r="B443" s="8"/>
      <c r="C443" s="8"/>
      <c r="D443" s="8"/>
      <c r="E443" s="68"/>
      <c r="F443" s="129"/>
      <c r="G443" s="8"/>
      <c r="L443" s="157"/>
    </row>
    <row r="444">
      <c r="B444" s="8"/>
      <c r="C444" s="8"/>
      <c r="D444" s="8"/>
      <c r="E444" s="68"/>
      <c r="F444" s="129"/>
      <c r="G444" s="8"/>
      <c r="L444" s="157"/>
    </row>
    <row r="445">
      <c r="B445" s="8"/>
      <c r="C445" s="8"/>
      <c r="D445" s="8"/>
      <c r="E445" s="68"/>
      <c r="F445" s="129"/>
      <c r="G445" s="8"/>
      <c r="L445" s="157"/>
    </row>
    <row r="446">
      <c r="B446" s="8"/>
      <c r="C446" s="8"/>
      <c r="D446" s="8"/>
      <c r="E446" s="68"/>
      <c r="F446" s="129"/>
      <c r="G446" s="8"/>
      <c r="L446" s="157"/>
    </row>
    <row r="447">
      <c r="B447" s="8"/>
      <c r="C447" s="8"/>
      <c r="D447" s="8"/>
      <c r="E447" s="68"/>
      <c r="F447" s="129"/>
      <c r="G447" s="8"/>
      <c r="L447" s="157"/>
    </row>
    <row r="448">
      <c r="B448" s="8"/>
      <c r="C448" s="8"/>
      <c r="D448" s="8"/>
      <c r="E448" s="68"/>
      <c r="F448" s="129"/>
      <c r="G448" s="8"/>
      <c r="L448" s="157"/>
    </row>
    <row r="449">
      <c r="B449" s="8"/>
      <c r="C449" s="8"/>
      <c r="D449" s="8"/>
      <c r="E449" s="68"/>
      <c r="F449" s="129"/>
      <c r="G449" s="8"/>
      <c r="L449" s="157"/>
    </row>
    <row r="450">
      <c r="B450" s="8"/>
      <c r="C450" s="8"/>
      <c r="D450" s="8"/>
      <c r="E450" s="68"/>
      <c r="F450" s="129"/>
      <c r="G450" s="8"/>
      <c r="L450" s="157"/>
    </row>
    <row r="451">
      <c r="B451" s="8"/>
      <c r="C451" s="8"/>
      <c r="D451" s="8"/>
      <c r="E451" s="68"/>
      <c r="F451" s="129"/>
      <c r="G451" s="8"/>
      <c r="L451" s="157"/>
    </row>
    <row r="452">
      <c r="B452" s="8"/>
      <c r="C452" s="8"/>
      <c r="D452" s="8"/>
      <c r="E452" s="68"/>
      <c r="F452" s="129"/>
      <c r="G452" s="8"/>
      <c r="L452" s="157"/>
    </row>
    <row r="453">
      <c r="B453" s="8"/>
      <c r="C453" s="8"/>
      <c r="D453" s="8"/>
      <c r="E453" s="68"/>
      <c r="F453" s="129"/>
      <c r="G453" s="8"/>
      <c r="L453" s="157"/>
    </row>
    <row r="454">
      <c r="B454" s="8"/>
      <c r="C454" s="8"/>
      <c r="D454" s="8"/>
      <c r="E454" s="68"/>
      <c r="F454" s="129"/>
      <c r="G454" s="8"/>
      <c r="L454" s="157"/>
    </row>
    <row r="455">
      <c r="B455" s="8"/>
      <c r="C455" s="8"/>
      <c r="D455" s="8"/>
      <c r="E455" s="68"/>
      <c r="F455" s="129"/>
      <c r="G455" s="8"/>
      <c r="L455" s="157"/>
    </row>
    <row r="456">
      <c r="B456" s="8"/>
      <c r="C456" s="8"/>
      <c r="D456" s="8"/>
      <c r="E456" s="68"/>
      <c r="F456" s="129"/>
      <c r="G456" s="8"/>
      <c r="L456" s="157"/>
    </row>
    <row r="457">
      <c r="B457" s="8"/>
      <c r="C457" s="8"/>
      <c r="D457" s="8"/>
      <c r="E457" s="68"/>
      <c r="F457" s="129"/>
      <c r="G457" s="8"/>
      <c r="L457" s="157"/>
    </row>
    <row r="458">
      <c r="B458" s="8"/>
      <c r="C458" s="8"/>
      <c r="D458" s="8"/>
      <c r="E458" s="68"/>
      <c r="F458" s="129"/>
      <c r="G458" s="8"/>
      <c r="L458" s="157"/>
    </row>
    <row r="459">
      <c r="B459" s="8"/>
      <c r="C459" s="8"/>
      <c r="D459" s="8"/>
      <c r="E459" s="68"/>
      <c r="F459" s="129"/>
      <c r="G459" s="8"/>
      <c r="L459" s="157"/>
    </row>
    <row r="460">
      <c r="B460" s="8"/>
      <c r="C460" s="8"/>
      <c r="D460" s="8"/>
      <c r="E460" s="68"/>
      <c r="F460" s="129"/>
      <c r="G460" s="8"/>
      <c r="L460" s="157"/>
    </row>
    <row r="461">
      <c r="B461" s="8"/>
      <c r="C461" s="8"/>
      <c r="D461" s="8"/>
      <c r="E461" s="68"/>
      <c r="F461" s="129"/>
      <c r="G461" s="8"/>
      <c r="L461" s="157"/>
    </row>
    <row r="462">
      <c r="B462" s="8"/>
      <c r="C462" s="8"/>
      <c r="D462" s="8"/>
      <c r="E462" s="68"/>
      <c r="F462" s="129"/>
      <c r="G462" s="8"/>
      <c r="L462" s="157"/>
    </row>
    <row r="463">
      <c r="B463" s="8"/>
      <c r="C463" s="8"/>
      <c r="D463" s="8"/>
      <c r="E463" s="68"/>
      <c r="F463" s="129"/>
      <c r="G463" s="8"/>
      <c r="L463" s="157"/>
    </row>
    <row r="464">
      <c r="B464" s="8"/>
      <c r="C464" s="8"/>
      <c r="D464" s="8"/>
      <c r="E464" s="68"/>
      <c r="F464" s="129"/>
      <c r="G464" s="8"/>
      <c r="L464" s="157"/>
    </row>
    <row r="465">
      <c r="B465" s="8"/>
      <c r="C465" s="8"/>
      <c r="D465" s="8"/>
      <c r="E465" s="68"/>
      <c r="F465" s="129"/>
      <c r="G465" s="8"/>
      <c r="L465" s="157"/>
    </row>
    <row r="466">
      <c r="B466" s="8"/>
      <c r="C466" s="8"/>
      <c r="D466" s="8"/>
      <c r="E466" s="68"/>
      <c r="F466" s="129"/>
      <c r="G466" s="8"/>
      <c r="L466" s="157"/>
    </row>
    <row r="467">
      <c r="B467" s="8"/>
      <c r="C467" s="8"/>
      <c r="D467" s="8"/>
      <c r="E467" s="68"/>
      <c r="F467" s="129"/>
      <c r="G467" s="8"/>
      <c r="L467" s="157"/>
    </row>
    <row r="468">
      <c r="B468" s="8"/>
      <c r="C468" s="8"/>
      <c r="D468" s="8"/>
      <c r="E468" s="68"/>
      <c r="F468" s="129"/>
      <c r="G468" s="8"/>
      <c r="L468" s="157"/>
    </row>
    <row r="469">
      <c r="B469" s="8"/>
      <c r="C469" s="8"/>
      <c r="D469" s="8"/>
      <c r="E469" s="68"/>
      <c r="F469" s="129"/>
      <c r="G469" s="8"/>
      <c r="L469" s="157"/>
    </row>
    <row r="470">
      <c r="B470" s="8"/>
      <c r="C470" s="8"/>
      <c r="D470" s="8"/>
      <c r="E470" s="68"/>
      <c r="F470" s="129"/>
      <c r="G470" s="8"/>
      <c r="L470" s="157"/>
    </row>
    <row r="471">
      <c r="B471" s="8"/>
      <c r="C471" s="8"/>
      <c r="D471" s="8"/>
      <c r="E471" s="68"/>
      <c r="F471" s="129"/>
      <c r="G471" s="8"/>
      <c r="L471" s="157"/>
    </row>
    <row r="472">
      <c r="B472" s="8"/>
      <c r="C472" s="8"/>
      <c r="D472" s="8"/>
      <c r="E472" s="68"/>
      <c r="F472" s="129"/>
      <c r="G472" s="8"/>
      <c r="L472" s="157"/>
    </row>
    <row r="473">
      <c r="B473" s="8"/>
      <c r="C473" s="8"/>
      <c r="D473" s="8"/>
      <c r="E473" s="68"/>
      <c r="F473" s="129"/>
      <c r="G473" s="8"/>
      <c r="L473" s="157"/>
    </row>
    <row r="474">
      <c r="B474" s="8"/>
      <c r="C474" s="8"/>
      <c r="D474" s="8"/>
      <c r="E474" s="68"/>
      <c r="F474" s="129"/>
      <c r="G474" s="8"/>
      <c r="L474" s="157"/>
    </row>
    <row r="475">
      <c r="B475" s="8"/>
      <c r="C475" s="8"/>
      <c r="D475" s="8"/>
      <c r="E475" s="68"/>
      <c r="F475" s="129"/>
      <c r="G475" s="8"/>
      <c r="L475" s="157"/>
    </row>
    <row r="476">
      <c r="B476" s="8"/>
      <c r="C476" s="8"/>
      <c r="D476" s="8"/>
      <c r="E476" s="68"/>
      <c r="F476" s="129"/>
      <c r="G476" s="8"/>
      <c r="L476" s="157"/>
    </row>
    <row r="477">
      <c r="B477" s="8"/>
      <c r="C477" s="8"/>
      <c r="D477" s="8"/>
      <c r="E477" s="68"/>
      <c r="F477" s="129"/>
      <c r="G477" s="8"/>
      <c r="L477" s="157"/>
    </row>
    <row r="478">
      <c r="B478" s="8"/>
      <c r="C478" s="8"/>
      <c r="D478" s="8"/>
      <c r="E478" s="68"/>
      <c r="F478" s="129"/>
      <c r="G478" s="8"/>
      <c r="L478" s="157"/>
    </row>
    <row r="479">
      <c r="B479" s="8"/>
      <c r="C479" s="8"/>
      <c r="D479" s="8"/>
      <c r="E479" s="68"/>
      <c r="F479" s="129"/>
      <c r="G479" s="8"/>
      <c r="L479" s="157"/>
    </row>
    <row r="480">
      <c r="B480" s="8"/>
      <c r="C480" s="8"/>
      <c r="D480" s="8"/>
      <c r="E480" s="68"/>
      <c r="F480" s="129"/>
      <c r="G480" s="8"/>
      <c r="L480" s="157"/>
    </row>
    <row r="481">
      <c r="B481" s="8"/>
      <c r="C481" s="8"/>
      <c r="D481" s="8"/>
      <c r="E481" s="68"/>
      <c r="F481" s="129"/>
      <c r="G481" s="8"/>
      <c r="L481" s="157"/>
    </row>
    <row r="482">
      <c r="B482" s="8"/>
      <c r="C482" s="8"/>
      <c r="D482" s="8"/>
      <c r="E482" s="68"/>
      <c r="F482" s="129"/>
      <c r="G482" s="8"/>
      <c r="L482" s="157"/>
    </row>
    <row r="483">
      <c r="B483" s="8"/>
      <c r="C483" s="8"/>
      <c r="D483" s="8"/>
      <c r="E483" s="68"/>
      <c r="F483" s="129"/>
      <c r="G483" s="8"/>
      <c r="L483" s="157"/>
    </row>
    <row r="484">
      <c r="B484" s="8"/>
      <c r="C484" s="8"/>
      <c r="D484" s="8"/>
      <c r="E484" s="68"/>
      <c r="F484" s="129"/>
      <c r="G484" s="8"/>
      <c r="L484" s="157"/>
    </row>
    <row r="485">
      <c r="B485" s="8"/>
      <c r="C485" s="8"/>
      <c r="D485" s="8"/>
      <c r="E485" s="68"/>
      <c r="F485" s="129"/>
      <c r="G485" s="8"/>
      <c r="L485" s="157"/>
    </row>
    <row r="486">
      <c r="B486" s="8"/>
      <c r="C486" s="8"/>
      <c r="D486" s="8"/>
      <c r="E486" s="68"/>
      <c r="F486" s="129"/>
      <c r="G486" s="8"/>
      <c r="L486" s="157"/>
    </row>
    <row r="487">
      <c r="B487" s="8"/>
      <c r="C487" s="8"/>
      <c r="D487" s="8"/>
      <c r="E487" s="68"/>
      <c r="F487" s="129"/>
      <c r="G487" s="8"/>
      <c r="L487" s="157"/>
    </row>
    <row r="488">
      <c r="B488" s="8"/>
      <c r="C488" s="8"/>
      <c r="D488" s="8"/>
      <c r="E488" s="68"/>
      <c r="F488" s="129"/>
      <c r="G488" s="8"/>
      <c r="L488" s="157"/>
    </row>
    <row r="489">
      <c r="B489" s="8"/>
      <c r="C489" s="8"/>
      <c r="D489" s="8"/>
      <c r="E489" s="68"/>
      <c r="F489" s="129"/>
      <c r="G489" s="8"/>
      <c r="L489" s="157"/>
    </row>
    <row r="490">
      <c r="B490" s="8"/>
      <c r="C490" s="8"/>
      <c r="D490" s="8"/>
      <c r="E490" s="68"/>
      <c r="F490" s="129"/>
      <c r="G490" s="8"/>
      <c r="L490" s="157"/>
    </row>
    <row r="491">
      <c r="B491" s="8"/>
      <c r="C491" s="8"/>
      <c r="D491" s="8"/>
      <c r="E491" s="68"/>
      <c r="F491" s="129"/>
      <c r="G491" s="8"/>
      <c r="L491" s="157"/>
    </row>
    <row r="492">
      <c r="B492" s="8"/>
      <c r="C492" s="8"/>
      <c r="D492" s="8"/>
      <c r="E492" s="68"/>
      <c r="F492" s="129"/>
      <c r="G492" s="8"/>
      <c r="L492" s="157"/>
    </row>
    <row r="493">
      <c r="B493" s="8"/>
      <c r="C493" s="8"/>
      <c r="D493" s="8"/>
      <c r="E493" s="68"/>
      <c r="F493" s="129"/>
      <c r="G493" s="8"/>
      <c r="L493" s="157"/>
    </row>
    <row r="494">
      <c r="B494" s="8"/>
      <c r="C494" s="8"/>
      <c r="D494" s="8"/>
      <c r="E494" s="68"/>
      <c r="F494" s="129"/>
      <c r="G494" s="8"/>
      <c r="L494" s="157"/>
    </row>
    <row r="495">
      <c r="B495" s="8"/>
      <c r="C495" s="8"/>
      <c r="D495" s="8"/>
      <c r="E495" s="68"/>
      <c r="F495" s="129"/>
      <c r="G495" s="8"/>
      <c r="L495" s="157"/>
    </row>
    <row r="496">
      <c r="B496" s="8"/>
      <c r="C496" s="8"/>
      <c r="D496" s="8"/>
      <c r="E496" s="68"/>
      <c r="F496" s="129"/>
      <c r="G496" s="8"/>
      <c r="L496" s="157"/>
    </row>
    <row r="497">
      <c r="B497" s="8"/>
      <c r="C497" s="8"/>
      <c r="D497" s="8"/>
      <c r="E497" s="68"/>
      <c r="F497" s="129"/>
      <c r="G497" s="8"/>
      <c r="L497" s="157"/>
    </row>
    <row r="498">
      <c r="B498" s="8"/>
      <c r="C498" s="8"/>
      <c r="D498" s="8"/>
      <c r="E498" s="68"/>
      <c r="F498" s="129"/>
      <c r="G498" s="8"/>
      <c r="L498" s="157"/>
    </row>
    <row r="499">
      <c r="B499" s="8"/>
      <c r="C499" s="8"/>
      <c r="D499" s="8"/>
      <c r="E499" s="68"/>
      <c r="F499" s="129"/>
      <c r="G499" s="8"/>
      <c r="L499" s="157"/>
    </row>
    <row r="500">
      <c r="B500" s="8"/>
      <c r="C500" s="8"/>
      <c r="D500" s="8"/>
      <c r="E500" s="68"/>
      <c r="F500" s="129"/>
      <c r="G500" s="8"/>
      <c r="L500" s="157"/>
    </row>
    <row r="501">
      <c r="B501" s="8"/>
      <c r="C501" s="8"/>
      <c r="D501" s="8"/>
      <c r="E501" s="68"/>
      <c r="F501" s="129"/>
      <c r="G501" s="8"/>
      <c r="L501" s="157"/>
    </row>
    <row r="502">
      <c r="B502" s="8"/>
      <c r="C502" s="8"/>
      <c r="D502" s="8"/>
      <c r="E502" s="68"/>
      <c r="F502" s="129"/>
      <c r="G502" s="8"/>
      <c r="L502" s="157"/>
    </row>
    <row r="503">
      <c r="B503" s="8"/>
      <c r="C503" s="8"/>
      <c r="D503" s="8"/>
      <c r="E503" s="68"/>
      <c r="F503" s="129"/>
      <c r="G503" s="8"/>
      <c r="L503" s="157"/>
    </row>
    <row r="504">
      <c r="B504" s="8"/>
      <c r="C504" s="8"/>
      <c r="D504" s="8"/>
      <c r="E504" s="68"/>
      <c r="F504" s="129"/>
      <c r="G504" s="8"/>
      <c r="L504" s="157"/>
    </row>
    <row r="505">
      <c r="B505" s="8"/>
      <c r="C505" s="8"/>
      <c r="D505" s="8"/>
      <c r="E505" s="68"/>
      <c r="F505" s="129"/>
      <c r="G505" s="8"/>
      <c r="L505" s="157"/>
    </row>
    <row r="506">
      <c r="B506" s="8"/>
      <c r="C506" s="8"/>
      <c r="D506" s="8"/>
      <c r="E506" s="68"/>
      <c r="F506" s="129"/>
      <c r="G506" s="8"/>
      <c r="L506" s="157"/>
    </row>
    <row r="507">
      <c r="B507" s="8"/>
      <c r="C507" s="8"/>
      <c r="D507" s="8"/>
      <c r="E507" s="68"/>
      <c r="F507" s="129"/>
      <c r="G507" s="8"/>
      <c r="L507" s="157"/>
    </row>
    <row r="508">
      <c r="B508" s="8"/>
      <c r="C508" s="8"/>
      <c r="D508" s="8"/>
      <c r="E508" s="68"/>
      <c r="F508" s="129"/>
      <c r="G508" s="8"/>
      <c r="L508" s="157"/>
    </row>
    <row r="509">
      <c r="B509" s="8"/>
      <c r="C509" s="8"/>
      <c r="D509" s="8"/>
      <c r="E509" s="68"/>
      <c r="F509" s="129"/>
      <c r="G509" s="8"/>
      <c r="L509" s="157"/>
    </row>
    <row r="510">
      <c r="B510" s="8"/>
      <c r="C510" s="8"/>
      <c r="D510" s="8"/>
      <c r="E510" s="68"/>
      <c r="F510" s="129"/>
      <c r="G510" s="8"/>
      <c r="L510" s="157"/>
    </row>
    <row r="511">
      <c r="B511" s="8"/>
      <c r="C511" s="8"/>
      <c r="D511" s="8"/>
      <c r="E511" s="68"/>
      <c r="F511" s="129"/>
      <c r="G511" s="8"/>
      <c r="L511" s="157"/>
    </row>
    <row r="512">
      <c r="B512" s="8"/>
      <c r="C512" s="8"/>
      <c r="D512" s="8"/>
      <c r="E512" s="68"/>
      <c r="F512" s="129"/>
      <c r="G512" s="8"/>
      <c r="L512" s="157"/>
    </row>
    <row r="513">
      <c r="B513" s="8"/>
      <c r="C513" s="8"/>
      <c r="D513" s="8"/>
      <c r="E513" s="68"/>
      <c r="F513" s="129"/>
      <c r="G513" s="8"/>
      <c r="L513" s="157"/>
    </row>
    <row r="514">
      <c r="B514" s="8"/>
      <c r="C514" s="8"/>
      <c r="D514" s="8"/>
      <c r="E514" s="68"/>
      <c r="F514" s="129"/>
      <c r="G514" s="8"/>
      <c r="L514" s="157"/>
    </row>
    <row r="515">
      <c r="B515" s="8"/>
      <c r="C515" s="8"/>
      <c r="D515" s="8"/>
      <c r="E515" s="68"/>
      <c r="F515" s="129"/>
      <c r="G515" s="8"/>
      <c r="L515" s="157"/>
    </row>
    <row r="516">
      <c r="B516" s="8"/>
      <c r="C516" s="8"/>
      <c r="D516" s="8"/>
      <c r="E516" s="68"/>
      <c r="F516" s="129"/>
      <c r="G516" s="8"/>
      <c r="L516" s="157"/>
    </row>
    <row r="517">
      <c r="B517" s="8"/>
      <c r="C517" s="8"/>
      <c r="D517" s="8"/>
      <c r="E517" s="68"/>
      <c r="F517" s="129"/>
      <c r="G517" s="8"/>
      <c r="L517" s="157"/>
    </row>
    <row r="518">
      <c r="B518" s="8"/>
      <c r="C518" s="8"/>
      <c r="D518" s="8"/>
      <c r="E518" s="68"/>
      <c r="F518" s="129"/>
      <c r="G518" s="8"/>
      <c r="L518" s="157"/>
    </row>
    <row r="519">
      <c r="B519" s="8"/>
      <c r="C519" s="8"/>
      <c r="D519" s="8"/>
      <c r="E519" s="68"/>
      <c r="F519" s="129"/>
      <c r="G519" s="8"/>
      <c r="L519" s="157"/>
    </row>
    <row r="520">
      <c r="B520" s="8"/>
      <c r="C520" s="8"/>
      <c r="D520" s="8"/>
      <c r="E520" s="68"/>
      <c r="F520" s="129"/>
      <c r="G520" s="8"/>
      <c r="L520" s="157"/>
    </row>
    <row r="521">
      <c r="B521" s="8"/>
      <c r="C521" s="8"/>
      <c r="D521" s="8"/>
      <c r="E521" s="68"/>
      <c r="F521" s="129"/>
      <c r="G521" s="8"/>
      <c r="L521" s="157"/>
    </row>
    <row r="522">
      <c r="B522" s="8"/>
      <c r="C522" s="8"/>
      <c r="D522" s="8"/>
      <c r="E522" s="68"/>
      <c r="F522" s="129"/>
      <c r="G522" s="8"/>
      <c r="L522" s="157"/>
    </row>
    <row r="523">
      <c r="B523" s="8"/>
      <c r="C523" s="8"/>
      <c r="D523" s="8"/>
      <c r="E523" s="68"/>
      <c r="F523" s="129"/>
      <c r="G523" s="8"/>
      <c r="L523" s="157"/>
    </row>
    <row r="524">
      <c r="B524" s="8"/>
      <c r="C524" s="8"/>
      <c r="D524" s="8"/>
      <c r="E524" s="68"/>
      <c r="F524" s="129"/>
      <c r="G524" s="8"/>
      <c r="L524" s="157"/>
    </row>
    <row r="525">
      <c r="B525" s="8"/>
      <c r="C525" s="8"/>
      <c r="D525" s="8"/>
      <c r="E525" s="68"/>
      <c r="F525" s="129"/>
      <c r="G525" s="8"/>
      <c r="L525" s="157"/>
    </row>
    <row r="526">
      <c r="B526" s="8"/>
      <c r="C526" s="8"/>
      <c r="D526" s="8"/>
      <c r="E526" s="68"/>
      <c r="F526" s="129"/>
      <c r="G526" s="8"/>
      <c r="L526" s="157"/>
    </row>
    <row r="527">
      <c r="B527" s="8"/>
      <c r="C527" s="8"/>
      <c r="D527" s="8"/>
      <c r="E527" s="68"/>
      <c r="F527" s="129"/>
      <c r="G527" s="8"/>
      <c r="L527" s="157"/>
    </row>
    <row r="528">
      <c r="B528" s="8"/>
      <c r="C528" s="8"/>
      <c r="D528" s="8"/>
      <c r="E528" s="68"/>
      <c r="F528" s="129"/>
      <c r="G528" s="8"/>
      <c r="L528" s="157"/>
    </row>
    <row r="529">
      <c r="B529" s="8"/>
      <c r="C529" s="8"/>
      <c r="D529" s="8"/>
      <c r="E529" s="68"/>
      <c r="F529" s="129"/>
      <c r="G529" s="8"/>
      <c r="L529" s="157"/>
    </row>
    <row r="530">
      <c r="B530" s="8"/>
      <c r="C530" s="8"/>
      <c r="D530" s="8"/>
      <c r="E530" s="68"/>
      <c r="F530" s="129"/>
      <c r="G530" s="8"/>
      <c r="L530" s="157"/>
    </row>
    <row r="531">
      <c r="B531" s="8"/>
      <c r="C531" s="8"/>
      <c r="D531" s="8"/>
      <c r="E531" s="68"/>
      <c r="F531" s="129"/>
      <c r="G531" s="8"/>
      <c r="L531" s="157"/>
    </row>
    <row r="532">
      <c r="B532" s="8"/>
      <c r="C532" s="8"/>
      <c r="D532" s="8"/>
      <c r="E532" s="68"/>
      <c r="F532" s="129"/>
      <c r="G532" s="8"/>
      <c r="L532" s="157"/>
    </row>
    <row r="533">
      <c r="B533" s="8"/>
      <c r="C533" s="8"/>
      <c r="D533" s="8"/>
      <c r="E533" s="68"/>
      <c r="F533" s="129"/>
      <c r="G533" s="8"/>
      <c r="L533" s="157"/>
    </row>
    <row r="534">
      <c r="B534" s="8"/>
      <c r="C534" s="8"/>
      <c r="D534" s="8"/>
      <c r="E534" s="68"/>
      <c r="F534" s="129"/>
      <c r="G534" s="8"/>
      <c r="L534" s="157"/>
    </row>
    <row r="535">
      <c r="B535" s="8"/>
      <c r="C535" s="8"/>
      <c r="D535" s="8"/>
      <c r="E535" s="68"/>
      <c r="F535" s="129"/>
      <c r="G535" s="8"/>
      <c r="L535" s="157"/>
    </row>
    <row r="536">
      <c r="B536" s="8"/>
      <c r="C536" s="8"/>
      <c r="D536" s="8"/>
      <c r="E536" s="68"/>
      <c r="F536" s="129"/>
      <c r="G536" s="8"/>
      <c r="L536" s="157"/>
    </row>
    <row r="537">
      <c r="B537" s="8"/>
      <c r="C537" s="8"/>
      <c r="D537" s="8"/>
      <c r="E537" s="68"/>
      <c r="F537" s="129"/>
      <c r="G537" s="8"/>
      <c r="L537" s="157"/>
    </row>
    <row r="538">
      <c r="B538" s="8"/>
      <c r="C538" s="8"/>
      <c r="D538" s="8"/>
      <c r="E538" s="68"/>
      <c r="F538" s="129"/>
      <c r="G538" s="8"/>
      <c r="L538" s="157"/>
    </row>
    <row r="539">
      <c r="B539" s="8"/>
      <c r="C539" s="8"/>
      <c r="D539" s="8"/>
      <c r="E539" s="68"/>
      <c r="F539" s="129"/>
      <c r="G539" s="8"/>
      <c r="L539" s="157"/>
    </row>
    <row r="540">
      <c r="B540" s="8"/>
      <c r="C540" s="8"/>
      <c r="D540" s="8"/>
      <c r="E540" s="68"/>
      <c r="F540" s="129"/>
      <c r="G540" s="8"/>
      <c r="L540" s="157"/>
    </row>
    <row r="541">
      <c r="B541" s="8"/>
      <c r="C541" s="8"/>
      <c r="D541" s="8"/>
      <c r="E541" s="68"/>
      <c r="F541" s="129"/>
      <c r="G541" s="8"/>
      <c r="L541" s="157"/>
    </row>
    <row r="542">
      <c r="B542" s="8"/>
      <c r="C542" s="8"/>
      <c r="D542" s="8"/>
      <c r="E542" s="68"/>
      <c r="F542" s="129"/>
      <c r="G542" s="8"/>
      <c r="L542" s="157"/>
    </row>
    <row r="543">
      <c r="B543" s="8"/>
      <c r="C543" s="8"/>
      <c r="D543" s="8"/>
      <c r="E543" s="68"/>
      <c r="F543" s="129"/>
      <c r="G543" s="8"/>
      <c r="L543" s="157"/>
    </row>
    <row r="544">
      <c r="B544" s="8"/>
      <c r="C544" s="8"/>
      <c r="D544" s="8"/>
      <c r="E544" s="68"/>
      <c r="F544" s="129"/>
      <c r="G544" s="8"/>
      <c r="L544" s="157"/>
    </row>
    <row r="545">
      <c r="B545" s="8"/>
      <c r="C545" s="8"/>
      <c r="D545" s="8"/>
      <c r="E545" s="68"/>
      <c r="F545" s="129"/>
      <c r="G545" s="8"/>
      <c r="L545" s="157"/>
    </row>
    <row r="546">
      <c r="B546" s="8"/>
      <c r="C546" s="8"/>
      <c r="D546" s="8"/>
      <c r="E546" s="68"/>
      <c r="F546" s="129"/>
      <c r="G546" s="8"/>
      <c r="L546" s="157"/>
    </row>
    <row r="547">
      <c r="B547" s="8"/>
      <c r="C547" s="8"/>
      <c r="D547" s="8"/>
      <c r="E547" s="68"/>
      <c r="F547" s="129"/>
      <c r="G547" s="8"/>
      <c r="L547" s="157"/>
    </row>
    <row r="548">
      <c r="B548" s="8"/>
      <c r="C548" s="8"/>
      <c r="D548" s="8"/>
      <c r="E548" s="68"/>
      <c r="F548" s="129"/>
      <c r="G548" s="8"/>
      <c r="L548" s="157"/>
    </row>
    <row r="549">
      <c r="B549" s="8"/>
      <c r="C549" s="8"/>
      <c r="D549" s="8"/>
      <c r="E549" s="68"/>
      <c r="F549" s="129"/>
      <c r="G549" s="8"/>
      <c r="L549" s="157"/>
    </row>
    <row r="550">
      <c r="B550" s="8"/>
      <c r="C550" s="8"/>
      <c r="D550" s="8"/>
      <c r="E550" s="68"/>
      <c r="F550" s="129"/>
      <c r="G550" s="8"/>
      <c r="L550" s="157"/>
    </row>
    <row r="551">
      <c r="B551" s="8"/>
      <c r="C551" s="8"/>
      <c r="D551" s="8"/>
      <c r="E551" s="68"/>
      <c r="F551" s="129"/>
      <c r="G551" s="8"/>
      <c r="L551" s="157"/>
    </row>
    <row r="552">
      <c r="B552" s="8"/>
      <c r="C552" s="8"/>
      <c r="D552" s="8"/>
      <c r="E552" s="68"/>
      <c r="F552" s="129"/>
      <c r="G552" s="8"/>
      <c r="L552" s="157"/>
    </row>
    <row r="553">
      <c r="B553" s="8"/>
      <c r="C553" s="8"/>
      <c r="D553" s="8"/>
      <c r="E553" s="68"/>
      <c r="F553" s="129"/>
      <c r="G553" s="8"/>
      <c r="L553" s="157"/>
    </row>
    <row r="554">
      <c r="B554" s="8"/>
      <c r="C554" s="8"/>
      <c r="D554" s="8"/>
      <c r="E554" s="68"/>
      <c r="F554" s="129"/>
      <c r="G554" s="8"/>
      <c r="L554" s="157"/>
    </row>
    <row r="555">
      <c r="B555" s="8"/>
      <c r="C555" s="8"/>
      <c r="D555" s="8"/>
      <c r="E555" s="68"/>
      <c r="F555" s="129"/>
      <c r="G555" s="8"/>
      <c r="L555" s="157"/>
    </row>
    <row r="556">
      <c r="B556" s="8"/>
      <c r="C556" s="8"/>
      <c r="D556" s="8"/>
      <c r="E556" s="68"/>
      <c r="F556" s="129"/>
      <c r="G556" s="8"/>
      <c r="L556" s="157"/>
    </row>
    <row r="557">
      <c r="B557" s="8"/>
      <c r="C557" s="8"/>
      <c r="D557" s="8"/>
      <c r="E557" s="68"/>
      <c r="F557" s="129"/>
      <c r="G557" s="8"/>
      <c r="L557" s="157"/>
    </row>
    <row r="558">
      <c r="B558" s="8"/>
      <c r="C558" s="8"/>
      <c r="D558" s="8"/>
      <c r="E558" s="68"/>
      <c r="F558" s="129"/>
      <c r="G558" s="8"/>
      <c r="L558" s="157"/>
    </row>
    <row r="559">
      <c r="B559" s="8"/>
      <c r="C559" s="8"/>
      <c r="D559" s="8"/>
      <c r="E559" s="68"/>
      <c r="F559" s="129"/>
      <c r="G559" s="8"/>
      <c r="L559" s="157"/>
    </row>
    <row r="560">
      <c r="B560" s="8"/>
      <c r="C560" s="8"/>
      <c r="D560" s="8"/>
      <c r="E560" s="68"/>
      <c r="F560" s="129"/>
      <c r="G560" s="8"/>
      <c r="L560" s="157"/>
    </row>
    <row r="561">
      <c r="B561" s="8"/>
      <c r="C561" s="8"/>
      <c r="D561" s="8"/>
      <c r="E561" s="68"/>
      <c r="F561" s="129"/>
      <c r="G561" s="8"/>
      <c r="L561" s="157"/>
    </row>
    <row r="562">
      <c r="B562" s="8"/>
      <c r="C562" s="8"/>
      <c r="D562" s="8"/>
      <c r="E562" s="68"/>
      <c r="F562" s="129"/>
      <c r="G562" s="8"/>
      <c r="L562" s="157"/>
    </row>
    <row r="563">
      <c r="B563" s="8"/>
      <c r="C563" s="8"/>
      <c r="D563" s="8"/>
      <c r="E563" s="68"/>
      <c r="F563" s="129"/>
      <c r="G563" s="8"/>
      <c r="L563" s="157"/>
    </row>
    <row r="564">
      <c r="B564" s="8"/>
      <c r="C564" s="8"/>
      <c r="D564" s="8"/>
      <c r="E564" s="68"/>
      <c r="F564" s="129"/>
      <c r="G564" s="8"/>
      <c r="L564" s="157"/>
    </row>
    <row r="565">
      <c r="B565" s="8"/>
      <c r="C565" s="8"/>
      <c r="D565" s="8"/>
      <c r="E565" s="68"/>
      <c r="F565" s="129"/>
      <c r="G565" s="8"/>
      <c r="L565" s="157"/>
    </row>
    <row r="566">
      <c r="B566" s="8"/>
      <c r="C566" s="8"/>
      <c r="D566" s="8"/>
      <c r="E566" s="68"/>
      <c r="F566" s="129"/>
      <c r="G566" s="8"/>
      <c r="L566" s="157"/>
    </row>
    <row r="567">
      <c r="B567" s="8"/>
      <c r="C567" s="8"/>
      <c r="D567" s="8"/>
      <c r="E567" s="68"/>
      <c r="F567" s="129"/>
      <c r="G567" s="8"/>
      <c r="L567" s="157"/>
    </row>
    <row r="568">
      <c r="B568" s="8"/>
      <c r="C568" s="8"/>
      <c r="D568" s="8"/>
      <c r="E568" s="68"/>
      <c r="F568" s="129"/>
      <c r="G568" s="8"/>
      <c r="L568" s="157"/>
    </row>
    <row r="569">
      <c r="B569" s="8"/>
      <c r="C569" s="8"/>
      <c r="D569" s="8"/>
      <c r="E569" s="68"/>
      <c r="F569" s="129"/>
      <c r="G569" s="8"/>
      <c r="L569" s="157"/>
    </row>
    <row r="570">
      <c r="B570" s="8"/>
      <c r="C570" s="8"/>
      <c r="D570" s="8"/>
      <c r="E570" s="68"/>
      <c r="F570" s="129"/>
      <c r="G570" s="8"/>
      <c r="L570" s="157"/>
    </row>
    <row r="571">
      <c r="B571" s="8"/>
      <c r="C571" s="8"/>
      <c r="D571" s="8"/>
      <c r="E571" s="68"/>
      <c r="F571" s="129"/>
      <c r="G571" s="8"/>
      <c r="L571" s="157"/>
    </row>
    <row r="572">
      <c r="B572" s="8"/>
      <c r="C572" s="8"/>
      <c r="D572" s="8"/>
      <c r="E572" s="68"/>
      <c r="F572" s="129"/>
      <c r="G572" s="8"/>
      <c r="L572" s="157"/>
    </row>
    <row r="573">
      <c r="B573" s="8"/>
      <c r="C573" s="8"/>
      <c r="D573" s="8"/>
      <c r="E573" s="68"/>
      <c r="F573" s="129"/>
      <c r="G573" s="8"/>
      <c r="L573" s="157"/>
    </row>
    <row r="574">
      <c r="B574" s="8"/>
      <c r="C574" s="8"/>
      <c r="D574" s="8"/>
      <c r="E574" s="68"/>
      <c r="F574" s="129"/>
      <c r="G574" s="8"/>
      <c r="L574" s="157"/>
    </row>
    <row r="575">
      <c r="B575" s="8"/>
      <c r="C575" s="8"/>
      <c r="D575" s="8"/>
      <c r="E575" s="68"/>
      <c r="F575" s="129"/>
      <c r="G575" s="8"/>
      <c r="L575" s="157"/>
    </row>
    <row r="576">
      <c r="B576" s="8"/>
      <c r="C576" s="8"/>
      <c r="D576" s="8"/>
      <c r="E576" s="68"/>
      <c r="F576" s="129"/>
      <c r="G576" s="8"/>
      <c r="L576" s="157"/>
    </row>
    <row r="577">
      <c r="B577" s="8"/>
      <c r="C577" s="8"/>
      <c r="D577" s="8"/>
      <c r="E577" s="68"/>
      <c r="F577" s="129"/>
      <c r="G577" s="8"/>
      <c r="L577" s="157"/>
    </row>
    <row r="578">
      <c r="B578" s="8"/>
      <c r="C578" s="8"/>
      <c r="D578" s="8"/>
      <c r="E578" s="68"/>
      <c r="F578" s="129"/>
      <c r="G578" s="8"/>
      <c r="L578" s="157"/>
    </row>
    <row r="579">
      <c r="B579" s="8"/>
      <c r="C579" s="8"/>
      <c r="D579" s="8"/>
      <c r="E579" s="68"/>
      <c r="F579" s="129"/>
      <c r="G579" s="8"/>
      <c r="L579" s="157"/>
    </row>
    <row r="580">
      <c r="B580" s="8"/>
      <c r="C580" s="8"/>
      <c r="D580" s="8"/>
      <c r="E580" s="68"/>
      <c r="F580" s="129"/>
      <c r="G580" s="8"/>
      <c r="L580" s="157"/>
    </row>
    <row r="581">
      <c r="B581" s="8"/>
      <c r="C581" s="8"/>
      <c r="D581" s="8"/>
      <c r="E581" s="68"/>
      <c r="F581" s="129"/>
      <c r="G581" s="8"/>
      <c r="L581" s="157"/>
    </row>
    <row r="582">
      <c r="B582" s="8"/>
      <c r="C582" s="8"/>
      <c r="D582" s="8"/>
      <c r="E582" s="68"/>
      <c r="F582" s="129"/>
      <c r="G582" s="8"/>
      <c r="L582" s="157"/>
    </row>
    <row r="583">
      <c r="B583" s="8"/>
      <c r="C583" s="8"/>
      <c r="D583" s="8"/>
      <c r="E583" s="68"/>
      <c r="F583" s="129"/>
      <c r="G583" s="8"/>
      <c r="L583" s="157"/>
    </row>
    <row r="584">
      <c r="B584" s="8"/>
      <c r="C584" s="8"/>
      <c r="D584" s="8"/>
      <c r="E584" s="68"/>
      <c r="F584" s="129"/>
      <c r="G584" s="8"/>
      <c r="L584" s="157"/>
    </row>
    <row r="585">
      <c r="B585" s="8"/>
      <c r="C585" s="8"/>
      <c r="D585" s="8"/>
      <c r="E585" s="68"/>
      <c r="F585" s="129"/>
      <c r="G585" s="8"/>
      <c r="L585" s="157"/>
    </row>
    <row r="586">
      <c r="B586" s="8"/>
      <c r="C586" s="8"/>
      <c r="D586" s="8"/>
      <c r="E586" s="68"/>
      <c r="F586" s="129"/>
      <c r="G586" s="8"/>
      <c r="L586" s="157"/>
    </row>
    <row r="587">
      <c r="B587" s="8"/>
      <c r="C587" s="8"/>
      <c r="D587" s="8"/>
      <c r="E587" s="68"/>
      <c r="F587" s="129"/>
      <c r="G587" s="8"/>
      <c r="L587" s="157"/>
    </row>
    <row r="588">
      <c r="B588" s="8"/>
      <c r="C588" s="8"/>
      <c r="D588" s="8"/>
      <c r="E588" s="68"/>
      <c r="F588" s="129"/>
      <c r="G588" s="8"/>
      <c r="L588" s="157"/>
    </row>
    <row r="589">
      <c r="B589" s="8"/>
      <c r="C589" s="8"/>
      <c r="D589" s="8"/>
      <c r="E589" s="68"/>
      <c r="F589" s="129"/>
      <c r="G589" s="8"/>
      <c r="L589" s="157"/>
    </row>
    <row r="590">
      <c r="B590" s="8"/>
      <c r="C590" s="8"/>
      <c r="D590" s="8"/>
      <c r="E590" s="68"/>
      <c r="F590" s="129"/>
      <c r="G590" s="8"/>
      <c r="L590" s="157"/>
    </row>
    <row r="591">
      <c r="B591" s="8"/>
      <c r="C591" s="8"/>
      <c r="D591" s="8"/>
      <c r="E591" s="68"/>
      <c r="F591" s="129"/>
      <c r="G591" s="8"/>
      <c r="L591" s="157"/>
    </row>
    <row r="592">
      <c r="B592" s="8"/>
      <c r="C592" s="8"/>
      <c r="D592" s="8"/>
      <c r="E592" s="68"/>
      <c r="F592" s="129"/>
      <c r="G592" s="8"/>
      <c r="L592" s="157"/>
    </row>
    <row r="593">
      <c r="B593" s="8"/>
      <c r="C593" s="8"/>
      <c r="D593" s="8"/>
      <c r="E593" s="68"/>
      <c r="F593" s="129"/>
      <c r="G593" s="8"/>
      <c r="L593" s="157"/>
    </row>
    <row r="594">
      <c r="B594" s="8"/>
      <c r="C594" s="8"/>
      <c r="D594" s="8"/>
      <c r="E594" s="68"/>
      <c r="F594" s="129"/>
      <c r="G594" s="8"/>
      <c r="L594" s="157"/>
    </row>
    <row r="595">
      <c r="B595" s="8"/>
      <c r="C595" s="8"/>
      <c r="D595" s="8"/>
      <c r="E595" s="68"/>
      <c r="F595" s="129"/>
      <c r="G595" s="8"/>
      <c r="L595" s="157"/>
    </row>
    <row r="596">
      <c r="B596" s="8"/>
      <c r="C596" s="8"/>
      <c r="D596" s="8"/>
      <c r="E596" s="68"/>
      <c r="F596" s="129"/>
      <c r="G596" s="8"/>
      <c r="L596" s="157"/>
    </row>
    <row r="597">
      <c r="B597" s="8"/>
      <c r="C597" s="8"/>
      <c r="D597" s="8"/>
      <c r="E597" s="68"/>
      <c r="F597" s="129"/>
      <c r="G597" s="8"/>
      <c r="L597" s="157"/>
    </row>
    <row r="598">
      <c r="B598" s="8"/>
      <c r="C598" s="8"/>
      <c r="D598" s="8"/>
      <c r="E598" s="68"/>
      <c r="F598" s="129"/>
      <c r="G598" s="8"/>
      <c r="L598" s="157"/>
    </row>
    <row r="599">
      <c r="B599" s="8"/>
      <c r="C599" s="8"/>
      <c r="D599" s="8"/>
      <c r="E599" s="68"/>
      <c r="F599" s="129"/>
      <c r="G599" s="8"/>
      <c r="L599" s="157"/>
    </row>
    <row r="600">
      <c r="B600" s="8"/>
      <c r="C600" s="8"/>
      <c r="D600" s="8"/>
      <c r="E600" s="68"/>
      <c r="F600" s="129"/>
      <c r="G600" s="8"/>
      <c r="L600" s="157"/>
    </row>
    <row r="601">
      <c r="B601" s="8"/>
      <c r="C601" s="8"/>
      <c r="D601" s="8"/>
      <c r="E601" s="68"/>
      <c r="F601" s="129"/>
      <c r="G601" s="8"/>
      <c r="L601" s="157"/>
    </row>
    <row r="602">
      <c r="B602" s="8"/>
      <c r="C602" s="8"/>
      <c r="D602" s="8"/>
      <c r="E602" s="68"/>
      <c r="F602" s="129"/>
      <c r="G602" s="8"/>
      <c r="L602" s="157"/>
    </row>
    <row r="603">
      <c r="B603" s="8"/>
      <c r="C603" s="8"/>
      <c r="D603" s="8"/>
      <c r="E603" s="68"/>
      <c r="F603" s="129"/>
      <c r="G603" s="8"/>
      <c r="L603" s="157"/>
    </row>
    <row r="604">
      <c r="B604" s="8"/>
      <c r="C604" s="8"/>
      <c r="D604" s="8"/>
      <c r="E604" s="68"/>
      <c r="F604" s="129"/>
      <c r="G604" s="8"/>
      <c r="L604" s="157"/>
    </row>
    <row r="605">
      <c r="B605" s="8"/>
      <c r="C605" s="8"/>
      <c r="D605" s="8"/>
      <c r="E605" s="68"/>
      <c r="F605" s="129"/>
      <c r="G605" s="8"/>
      <c r="L605" s="157"/>
    </row>
    <row r="606">
      <c r="B606" s="8"/>
      <c r="C606" s="8"/>
      <c r="D606" s="8"/>
      <c r="E606" s="68"/>
      <c r="F606" s="129"/>
      <c r="G606" s="8"/>
      <c r="L606" s="157"/>
    </row>
    <row r="607">
      <c r="B607" s="8"/>
      <c r="C607" s="8"/>
      <c r="D607" s="8"/>
      <c r="E607" s="68"/>
      <c r="F607" s="129"/>
      <c r="G607" s="8"/>
      <c r="L607" s="157"/>
    </row>
    <row r="608">
      <c r="B608" s="8"/>
      <c r="C608" s="8"/>
      <c r="D608" s="8"/>
      <c r="E608" s="68"/>
      <c r="F608" s="129"/>
      <c r="G608" s="8"/>
      <c r="L608" s="157"/>
    </row>
    <row r="609">
      <c r="B609" s="8"/>
      <c r="C609" s="8"/>
      <c r="D609" s="8"/>
      <c r="E609" s="68"/>
      <c r="F609" s="129"/>
      <c r="G609" s="8"/>
      <c r="L609" s="157"/>
    </row>
    <row r="610">
      <c r="B610" s="8"/>
      <c r="C610" s="8"/>
      <c r="D610" s="8"/>
      <c r="E610" s="68"/>
      <c r="F610" s="129"/>
      <c r="G610" s="8"/>
      <c r="L610" s="157"/>
    </row>
    <row r="611">
      <c r="B611" s="8"/>
      <c r="C611" s="8"/>
      <c r="D611" s="8"/>
      <c r="E611" s="68"/>
      <c r="F611" s="129"/>
      <c r="G611" s="8"/>
      <c r="L611" s="157"/>
    </row>
    <row r="612">
      <c r="B612" s="8"/>
      <c r="C612" s="8"/>
      <c r="D612" s="8"/>
      <c r="E612" s="68"/>
      <c r="F612" s="129"/>
      <c r="G612" s="8"/>
      <c r="L612" s="157"/>
    </row>
    <row r="613">
      <c r="B613" s="8"/>
      <c r="C613" s="8"/>
      <c r="D613" s="8"/>
      <c r="E613" s="68"/>
      <c r="F613" s="129"/>
      <c r="G613" s="8"/>
      <c r="L613" s="157"/>
    </row>
    <row r="614">
      <c r="B614" s="8"/>
      <c r="C614" s="8"/>
      <c r="D614" s="8"/>
      <c r="E614" s="68"/>
      <c r="F614" s="129"/>
      <c r="G614" s="8"/>
      <c r="L614" s="157"/>
    </row>
    <row r="615">
      <c r="B615" s="8"/>
      <c r="C615" s="8"/>
      <c r="D615" s="8"/>
      <c r="E615" s="68"/>
      <c r="F615" s="129"/>
      <c r="G615" s="8"/>
      <c r="L615" s="157"/>
    </row>
    <row r="616">
      <c r="B616" s="8"/>
      <c r="C616" s="8"/>
      <c r="D616" s="8"/>
      <c r="E616" s="68"/>
      <c r="F616" s="129"/>
      <c r="G616" s="8"/>
      <c r="L616" s="157"/>
    </row>
    <row r="617">
      <c r="B617" s="8"/>
      <c r="C617" s="8"/>
      <c r="D617" s="8"/>
      <c r="E617" s="68"/>
      <c r="F617" s="129"/>
      <c r="G617" s="8"/>
      <c r="L617" s="157"/>
    </row>
    <row r="618">
      <c r="B618" s="8"/>
      <c r="C618" s="8"/>
      <c r="D618" s="8"/>
      <c r="E618" s="68"/>
      <c r="F618" s="129"/>
      <c r="G618" s="8"/>
      <c r="L618" s="157"/>
    </row>
    <row r="619">
      <c r="B619" s="8"/>
      <c r="C619" s="8"/>
      <c r="D619" s="8"/>
      <c r="E619" s="68"/>
      <c r="F619" s="129"/>
      <c r="G619" s="8"/>
      <c r="L619" s="157"/>
    </row>
    <row r="620">
      <c r="B620" s="8"/>
      <c r="C620" s="8"/>
      <c r="D620" s="8"/>
      <c r="E620" s="68"/>
      <c r="F620" s="129"/>
      <c r="G620" s="8"/>
      <c r="L620" s="157"/>
    </row>
    <row r="621">
      <c r="B621" s="8"/>
      <c r="C621" s="8"/>
      <c r="D621" s="8"/>
      <c r="E621" s="68"/>
      <c r="F621" s="129"/>
      <c r="G621" s="8"/>
      <c r="L621" s="157"/>
    </row>
    <row r="622">
      <c r="B622" s="8"/>
      <c r="C622" s="8"/>
      <c r="D622" s="8"/>
      <c r="E622" s="68"/>
      <c r="F622" s="129"/>
      <c r="G622" s="8"/>
      <c r="L622" s="157"/>
    </row>
    <row r="623">
      <c r="B623" s="8"/>
      <c r="C623" s="8"/>
      <c r="D623" s="8"/>
      <c r="E623" s="68"/>
      <c r="F623" s="129"/>
      <c r="G623" s="8"/>
      <c r="L623" s="157"/>
    </row>
    <row r="624">
      <c r="B624" s="8"/>
      <c r="C624" s="8"/>
      <c r="D624" s="8"/>
      <c r="E624" s="68"/>
      <c r="F624" s="129"/>
      <c r="G624" s="8"/>
      <c r="L624" s="157"/>
    </row>
    <row r="625">
      <c r="B625" s="8"/>
      <c r="C625" s="8"/>
      <c r="D625" s="8"/>
      <c r="E625" s="68"/>
      <c r="F625" s="129"/>
      <c r="G625" s="8"/>
      <c r="L625" s="157"/>
    </row>
    <row r="626">
      <c r="B626" s="8"/>
      <c r="C626" s="8"/>
      <c r="D626" s="8"/>
      <c r="E626" s="68"/>
      <c r="F626" s="129"/>
      <c r="G626" s="8"/>
      <c r="L626" s="157"/>
    </row>
    <row r="627">
      <c r="B627" s="8"/>
      <c r="C627" s="8"/>
      <c r="D627" s="8"/>
      <c r="E627" s="68"/>
      <c r="F627" s="129"/>
      <c r="G627" s="8"/>
      <c r="L627" s="157"/>
    </row>
    <row r="628">
      <c r="B628" s="8"/>
      <c r="C628" s="8"/>
      <c r="D628" s="8"/>
      <c r="E628" s="68"/>
      <c r="F628" s="129"/>
      <c r="G628" s="8"/>
      <c r="L628" s="157"/>
    </row>
    <row r="629">
      <c r="B629" s="8"/>
      <c r="C629" s="8"/>
      <c r="D629" s="8"/>
      <c r="E629" s="68"/>
      <c r="F629" s="129"/>
      <c r="G629" s="8"/>
      <c r="L629" s="157"/>
    </row>
    <row r="630">
      <c r="B630" s="8"/>
      <c r="C630" s="8"/>
      <c r="D630" s="8"/>
      <c r="E630" s="68"/>
      <c r="F630" s="129"/>
      <c r="G630" s="8"/>
      <c r="L630" s="157"/>
    </row>
    <row r="631">
      <c r="B631" s="8"/>
      <c r="C631" s="8"/>
      <c r="D631" s="8"/>
      <c r="E631" s="68"/>
      <c r="F631" s="129"/>
      <c r="G631" s="8"/>
      <c r="L631" s="157"/>
    </row>
    <row r="632">
      <c r="B632" s="8"/>
      <c r="C632" s="8"/>
      <c r="D632" s="8"/>
      <c r="E632" s="68"/>
      <c r="F632" s="129"/>
      <c r="G632" s="8"/>
      <c r="L632" s="157"/>
    </row>
    <row r="633">
      <c r="B633" s="8"/>
      <c r="C633" s="8"/>
      <c r="D633" s="8"/>
      <c r="E633" s="68"/>
      <c r="F633" s="129"/>
      <c r="G633" s="8"/>
      <c r="L633" s="157"/>
    </row>
    <row r="634">
      <c r="B634" s="8"/>
      <c r="C634" s="8"/>
      <c r="D634" s="8"/>
      <c r="E634" s="68"/>
      <c r="F634" s="129"/>
      <c r="G634" s="8"/>
      <c r="L634" s="157"/>
    </row>
    <row r="635">
      <c r="B635" s="8"/>
      <c r="C635" s="8"/>
      <c r="D635" s="8"/>
      <c r="E635" s="68"/>
      <c r="F635" s="129"/>
      <c r="G635" s="8"/>
      <c r="L635" s="157"/>
    </row>
    <row r="636">
      <c r="B636" s="8"/>
      <c r="C636" s="8"/>
      <c r="D636" s="8"/>
      <c r="E636" s="68"/>
      <c r="F636" s="129"/>
      <c r="G636" s="8"/>
      <c r="L636" s="157"/>
    </row>
    <row r="637">
      <c r="B637" s="8"/>
      <c r="C637" s="8"/>
      <c r="D637" s="8"/>
      <c r="E637" s="68"/>
      <c r="F637" s="129"/>
      <c r="G637" s="8"/>
      <c r="L637" s="157"/>
    </row>
    <row r="638">
      <c r="B638" s="8"/>
      <c r="C638" s="8"/>
      <c r="D638" s="8"/>
      <c r="E638" s="68"/>
      <c r="F638" s="129"/>
      <c r="G638" s="8"/>
      <c r="L638" s="157"/>
    </row>
    <row r="639">
      <c r="B639" s="8"/>
      <c r="C639" s="8"/>
      <c r="D639" s="8"/>
      <c r="E639" s="68"/>
      <c r="F639" s="129"/>
      <c r="G639" s="8"/>
      <c r="L639" s="157"/>
    </row>
    <row r="640">
      <c r="B640" s="8"/>
      <c r="C640" s="8"/>
      <c r="D640" s="8"/>
      <c r="E640" s="68"/>
      <c r="F640" s="129"/>
      <c r="G640" s="8"/>
      <c r="L640" s="157"/>
    </row>
    <row r="641">
      <c r="B641" s="8"/>
      <c r="C641" s="8"/>
      <c r="D641" s="8"/>
      <c r="E641" s="68"/>
      <c r="F641" s="129"/>
      <c r="G641" s="8"/>
      <c r="L641" s="157"/>
    </row>
    <row r="642">
      <c r="B642" s="8"/>
      <c r="C642" s="8"/>
      <c r="D642" s="8"/>
      <c r="E642" s="68"/>
      <c r="F642" s="129"/>
      <c r="G642" s="8"/>
      <c r="L642" s="157"/>
    </row>
    <row r="643">
      <c r="B643" s="8"/>
      <c r="C643" s="8"/>
      <c r="D643" s="8"/>
      <c r="E643" s="68"/>
      <c r="F643" s="129"/>
      <c r="G643" s="8"/>
      <c r="L643" s="157"/>
    </row>
    <row r="644">
      <c r="B644" s="8"/>
      <c r="C644" s="8"/>
      <c r="D644" s="8"/>
      <c r="E644" s="68"/>
      <c r="F644" s="129"/>
      <c r="G644" s="8"/>
      <c r="L644" s="157"/>
    </row>
    <row r="645">
      <c r="B645" s="8"/>
      <c r="C645" s="8"/>
      <c r="D645" s="8"/>
      <c r="E645" s="68"/>
      <c r="F645" s="129"/>
      <c r="G645" s="8"/>
      <c r="L645" s="157"/>
    </row>
    <row r="646">
      <c r="B646" s="8"/>
      <c r="C646" s="8"/>
      <c r="D646" s="8"/>
      <c r="E646" s="68"/>
      <c r="F646" s="129"/>
      <c r="G646" s="8"/>
      <c r="L646" s="157"/>
    </row>
    <row r="647">
      <c r="B647" s="8"/>
      <c r="C647" s="8"/>
      <c r="D647" s="8"/>
      <c r="E647" s="68"/>
      <c r="F647" s="129"/>
      <c r="G647" s="8"/>
      <c r="L647" s="157"/>
    </row>
    <row r="648">
      <c r="B648" s="8"/>
      <c r="C648" s="8"/>
      <c r="D648" s="8"/>
      <c r="E648" s="68"/>
      <c r="F648" s="129"/>
      <c r="G648" s="8"/>
      <c r="L648" s="157"/>
    </row>
    <row r="649">
      <c r="B649" s="8"/>
      <c r="C649" s="8"/>
      <c r="D649" s="8"/>
      <c r="E649" s="68"/>
      <c r="F649" s="129"/>
      <c r="G649" s="8"/>
      <c r="L649" s="157"/>
    </row>
    <row r="650">
      <c r="B650" s="8"/>
      <c r="C650" s="8"/>
      <c r="D650" s="8"/>
      <c r="E650" s="68"/>
      <c r="F650" s="129"/>
      <c r="G650" s="8"/>
      <c r="L650" s="157"/>
    </row>
    <row r="651">
      <c r="B651" s="8"/>
      <c r="C651" s="8"/>
      <c r="D651" s="8"/>
      <c r="E651" s="68"/>
      <c r="F651" s="129"/>
      <c r="G651" s="8"/>
      <c r="L651" s="157"/>
    </row>
    <row r="652">
      <c r="B652" s="8"/>
      <c r="C652" s="8"/>
      <c r="D652" s="8"/>
      <c r="E652" s="68"/>
      <c r="F652" s="129"/>
      <c r="G652" s="8"/>
      <c r="L652" s="157"/>
    </row>
    <row r="653">
      <c r="B653" s="8"/>
      <c r="C653" s="8"/>
      <c r="D653" s="8"/>
      <c r="E653" s="68"/>
      <c r="F653" s="129"/>
      <c r="G653" s="8"/>
      <c r="L653" s="157"/>
    </row>
    <row r="654">
      <c r="B654" s="8"/>
      <c r="C654" s="8"/>
      <c r="D654" s="8"/>
      <c r="E654" s="68"/>
      <c r="F654" s="129"/>
      <c r="G654" s="8"/>
      <c r="L654" s="157"/>
    </row>
    <row r="655">
      <c r="B655" s="8"/>
      <c r="C655" s="8"/>
      <c r="D655" s="8"/>
      <c r="E655" s="68"/>
      <c r="F655" s="129"/>
      <c r="G655" s="8"/>
      <c r="L655" s="157"/>
    </row>
    <row r="656">
      <c r="B656" s="8"/>
      <c r="C656" s="8"/>
      <c r="D656" s="8"/>
      <c r="E656" s="68"/>
      <c r="F656" s="129"/>
      <c r="G656" s="8"/>
      <c r="L656" s="157"/>
    </row>
    <row r="657">
      <c r="B657" s="8"/>
      <c r="C657" s="8"/>
      <c r="D657" s="8"/>
      <c r="E657" s="68"/>
      <c r="F657" s="129"/>
      <c r="G657" s="8"/>
      <c r="L657" s="157"/>
    </row>
    <row r="658">
      <c r="B658" s="8"/>
      <c r="C658" s="8"/>
      <c r="D658" s="8"/>
      <c r="E658" s="68"/>
      <c r="F658" s="129"/>
      <c r="G658" s="8"/>
      <c r="L658" s="157"/>
    </row>
    <row r="659">
      <c r="B659" s="8"/>
      <c r="C659" s="8"/>
      <c r="D659" s="8"/>
      <c r="E659" s="68"/>
      <c r="F659" s="129"/>
      <c r="G659" s="8"/>
      <c r="L659" s="157"/>
    </row>
    <row r="660">
      <c r="B660" s="8"/>
      <c r="C660" s="8"/>
      <c r="D660" s="8"/>
      <c r="E660" s="68"/>
      <c r="F660" s="129"/>
      <c r="G660" s="8"/>
      <c r="L660" s="157"/>
    </row>
    <row r="661">
      <c r="B661" s="8"/>
      <c r="C661" s="8"/>
      <c r="D661" s="8"/>
      <c r="E661" s="68"/>
      <c r="F661" s="129"/>
      <c r="G661" s="8"/>
      <c r="L661" s="157"/>
    </row>
    <row r="662">
      <c r="B662" s="8"/>
      <c r="C662" s="8"/>
      <c r="D662" s="8"/>
      <c r="E662" s="68"/>
      <c r="F662" s="129"/>
      <c r="G662" s="8"/>
      <c r="L662" s="157"/>
    </row>
    <row r="663">
      <c r="B663" s="8"/>
      <c r="C663" s="8"/>
      <c r="D663" s="8"/>
      <c r="E663" s="68"/>
      <c r="F663" s="129"/>
      <c r="G663" s="8"/>
      <c r="L663" s="157"/>
    </row>
    <row r="664">
      <c r="B664" s="8"/>
      <c r="C664" s="8"/>
      <c r="D664" s="8"/>
      <c r="E664" s="68"/>
      <c r="F664" s="129"/>
      <c r="G664" s="8"/>
      <c r="L664" s="157"/>
    </row>
    <row r="665">
      <c r="B665" s="8"/>
      <c r="C665" s="8"/>
      <c r="D665" s="8"/>
      <c r="E665" s="68"/>
      <c r="F665" s="129"/>
      <c r="G665" s="8"/>
      <c r="L665" s="157"/>
    </row>
    <row r="666">
      <c r="B666" s="8"/>
      <c r="C666" s="8"/>
      <c r="D666" s="8"/>
      <c r="E666" s="68"/>
      <c r="F666" s="129"/>
      <c r="G666" s="8"/>
      <c r="L666" s="157"/>
    </row>
    <row r="667">
      <c r="B667" s="8"/>
      <c r="C667" s="8"/>
      <c r="D667" s="8"/>
      <c r="E667" s="68"/>
      <c r="F667" s="129"/>
      <c r="G667" s="8"/>
      <c r="L667" s="157"/>
    </row>
    <row r="668">
      <c r="B668" s="8"/>
      <c r="C668" s="8"/>
      <c r="D668" s="8"/>
      <c r="E668" s="68"/>
      <c r="F668" s="129"/>
      <c r="G668" s="8"/>
      <c r="L668" s="157"/>
    </row>
    <row r="669">
      <c r="B669" s="8"/>
      <c r="C669" s="8"/>
      <c r="D669" s="8"/>
      <c r="E669" s="68"/>
      <c r="F669" s="129"/>
      <c r="G669" s="8"/>
      <c r="L669" s="157"/>
    </row>
    <row r="670">
      <c r="B670" s="8"/>
      <c r="C670" s="8"/>
      <c r="D670" s="8"/>
      <c r="E670" s="68"/>
      <c r="F670" s="129"/>
      <c r="G670" s="8"/>
      <c r="L670" s="157"/>
    </row>
    <row r="671">
      <c r="B671" s="8"/>
      <c r="C671" s="8"/>
      <c r="D671" s="8"/>
      <c r="E671" s="68"/>
      <c r="F671" s="129"/>
      <c r="G671" s="8"/>
      <c r="L671" s="157"/>
    </row>
    <row r="672">
      <c r="B672" s="8"/>
      <c r="C672" s="8"/>
      <c r="D672" s="8"/>
      <c r="E672" s="68"/>
      <c r="F672" s="129"/>
      <c r="G672" s="8"/>
      <c r="L672" s="157"/>
    </row>
    <row r="673">
      <c r="B673" s="8"/>
      <c r="C673" s="8"/>
      <c r="D673" s="8"/>
      <c r="E673" s="68"/>
      <c r="F673" s="129"/>
      <c r="G673" s="8"/>
      <c r="L673" s="157"/>
    </row>
    <row r="674">
      <c r="B674" s="8"/>
      <c r="C674" s="8"/>
      <c r="D674" s="8"/>
      <c r="E674" s="68"/>
      <c r="F674" s="129"/>
      <c r="G674" s="8"/>
      <c r="L674" s="157"/>
    </row>
    <row r="675">
      <c r="B675" s="8"/>
      <c r="C675" s="8"/>
      <c r="D675" s="8"/>
      <c r="E675" s="68"/>
      <c r="F675" s="129"/>
      <c r="G675" s="8"/>
      <c r="L675" s="157"/>
    </row>
    <row r="676">
      <c r="B676" s="8"/>
      <c r="C676" s="8"/>
      <c r="D676" s="8"/>
      <c r="E676" s="68"/>
      <c r="F676" s="129"/>
      <c r="G676" s="8"/>
      <c r="L676" s="157"/>
    </row>
    <row r="677">
      <c r="B677" s="8"/>
      <c r="C677" s="8"/>
      <c r="D677" s="8"/>
      <c r="E677" s="68"/>
      <c r="F677" s="129"/>
      <c r="G677" s="8"/>
      <c r="L677" s="157"/>
    </row>
    <row r="678">
      <c r="B678" s="8"/>
      <c r="C678" s="8"/>
      <c r="D678" s="8"/>
      <c r="E678" s="68"/>
      <c r="F678" s="129"/>
      <c r="G678" s="8"/>
      <c r="L678" s="157"/>
    </row>
    <row r="679">
      <c r="B679" s="8"/>
      <c r="C679" s="8"/>
      <c r="D679" s="8"/>
      <c r="E679" s="68"/>
      <c r="F679" s="129"/>
      <c r="G679" s="8"/>
      <c r="L679" s="157"/>
    </row>
    <row r="680">
      <c r="B680" s="8"/>
      <c r="C680" s="8"/>
      <c r="D680" s="8"/>
      <c r="E680" s="68"/>
      <c r="F680" s="129"/>
      <c r="G680" s="8"/>
      <c r="L680" s="157"/>
    </row>
    <row r="681">
      <c r="B681" s="8"/>
      <c r="C681" s="8"/>
      <c r="D681" s="8"/>
      <c r="E681" s="68"/>
      <c r="F681" s="129"/>
      <c r="G681" s="8"/>
      <c r="L681" s="157"/>
    </row>
    <row r="682">
      <c r="B682" s="8"/>
      <c r="C682" s="8"/>
      <c r="D682" s="8"/>
      <c r="E682" s="68"/>
      <c r="F682" s="129"/>
      <c r="G682" s="8"/>
      <c r="L682" s="157"/>
    </row>
    <row r="683">
      <c r="B683" s="8"/>
      <c r="C683" s="8"/>
      <c r="D683" s="8"/>
      <c r="E683" s="68"/>
      <c r="F683" s="129"/>
      <c r="G683" s="8"/>
      <c r="L683" s="157"/>
    </row>
    <row r="684">
      <c r="B684" s="8"/>
      <c r="C684" s="8"/>
      <c r="D684" s="8"/>
      <c r="E684" s="68"/>
      <c r="F684" s="129"/>
      <c r="G684" s="8"/>
      <c r="L684" s="157"/>
    </row>
    <row r="685">
      <c r="B685" s="8"/>
      <c r="C685" s="8"/>
      <c r="D685" s="8"/>
      <c r="E685" s="68"/>
      <c r="F685" s="129"/>
      <c r="G685" s="8"/>
      <c r="L685" s="157"/>
    </row>
    <row r="686">
      <c r="B686" s="8"/>
      <c r="C686" s="8"/>
      <c r="D686" s="8"/>
      <c r="E686" s="68"/>
      <c r="F686" s="129"/>
      <c r="G686" s="8"/>
      <c r="L686" s="157"/>
    </row>
    <row r="687">
      <c r="B687" s="8"/>
      <c r="C687" s="8"/>
      <c r="D687" s="8"/>
      <c r="E687" s="68"/>
      <c r="F687" s="129"/>
      <c r="G687" s="8"/>
      <c r="L687" s="157"/>
    </row>
    <row r="688">
      <c r="B688" s="8"/>
      <c r="C688" s="8"/>
      <c r="D688" s="8"/>
      <c r="E688" s="68"/>
      <c r="F688" s="129"/>
      <c r="G688" s="8"/>
      <c r="L688" s="157"/>
    </row>
    <row r="689">
      <c r="B689" s="8"/>
      <c r="C689" s="8"/>
      <c r="D689" s="8"/>
      <c r="E689" s="68"/>
      <c r="F689" s="129"/>
      <c r="G689" s="8"/>
      <c r="L689" s="157"/>
    </row>
    <row r="690">
      <c r="B690" s="8"/>
      <c r="C690" s="8"/>
      <c r="D690" s="8"/>
      <c r="E690" s="68"/>
      <c r="F690" s="129"/>
      <c r="G690" s="8"/>
      <c r="L690" s="157"/>
    </row>
    <row r="691">
      <c r="B691" s="8"/>
      <c r="C691" s="8"/>
      <c r="D691" s="8"/>
      <c r="E691" s="68"/>
      <c r="F691" s="129"/>
      <c r="G691" s="8"/>
      <c r="L691" s="157"/>
    </row>
    <row r="692">
      <c r="B692" s="8"/>
      <c r="C692" s="8"/>
      <c r="D692" s="8"/>
      <c r="E692" s="68"/>
      <c r="F692" s="129"/>
      <c r="G692" s="8"/>
      <c r="L692" s="157"/>
    </row>
    <row r="693">
      <c r="B693" s="8"/>
      <c r="C693" s="8"/>
      <c r="D693" s="8"/>
      <c r="E693" s="68"/>
      <c r="F693" s="129"/>
      <c r="G693" s="8"/>
      <c r="L693" s="157"/>
    </row>
    <row r="694">
      <c r="B694" s="8"/>
      <c r="C694" s="8"/>
      <c r="D694" s="8"/>
      <c r="E694" s="68"/>
      <c r="F694" s="129"/>
      <c r="G694" s="8"/>
      <c r="L694" s="157"/>
    </row>
    <row r="695">
      <c r="B695" s="8"/>
      <c r="C695" s="8"/>
      <c r="D695" s="8"/>
      <c r="E695" s="68"/>
      <c r="F695" s="129"/>
      <c r="G695" s="8"/>
      <c r="L695" s="157"/>
    </row>
    <row r="696">
      <c r="B696" s="8"/>
      <c r="C696" s="8"/>
      <c r="D696" s="8"/>
      <c r="E696" s="68"/>
      <c r="F696" s="129"/>
      <c r="G696" s="8"/>
      <c r="L696" s="157"/>
    </row>
    <row r="697">
      <c r="B697" s="8"/>
      <c r="C697" s="8"/>
      <c r="D697" s="8"/>
      <c r="E697" s="68"/>
      <c r="F697" s="129"/>
      <c r="G697" s="8"/>
      <c r="L697" s="157"/>
    </row>
    <row r="698">
      <c r="B698" s="8"/>
      <c r="C698" s="8"/>
      <c r="D698" s="8"/>
      <c r="E698" s="68"/>
      <c r="F698" s="129"/>
      <c r="G698" s="8"/>
      <c r="L698" s="157"/>
    </row>
    <row r="699">
      <c r="B699" s="8"/>
      <c r="C699" s="8"/>
      <c r="D699" s="8"/>
      <c r="E699" s="68"/>
      <c r="F699" s="129"/>
      <c r="G699" s="8"/>
      <c r="L699" s="157"/>
    </row>
    <row r="700">
      <c r="B700" s="8"/>
      <c r="C700" s="8"/>
      <c r="D700" s="8"/>
      <c r="E700" s="68"/>
      <c r="F700" s="129"/>
      <c r="G700" s="8"/>
      <c r="L700" s="157"/>
    </row>
    <row r="701">
      <c r="B701" s="8"/>
      <c r="C701" s="8"/>
      <c r="D701" s="8"/>
      <c r="E701" s="68"/>
      <c r="F701" s="129"/>
      <c r="G701" s="8"/>
      <c r="L701" s="157"/>
    </row>
    <row r="702">
      <c r="B702" s="8"/>
      <c r="C702" s="8"/>
      <c r="D702" s="8"/>
      <c r="E702" s="68"/>
      <c r="F702" s="129"/>
      <c r="G702" s="8"/>
      <c r="L702" s="157"/>
    </row>
    <row r="703">
      <c r="B703" s="8"/>
      <c r="C703" s="8"/>
      <c r="D703" s="8"/>
      <c r="E703" s="68"/>
      <c r="F703" s="129"/>
      <c r="G703" s="8"/>
      <c r="L703" s="157"/>
    </row>
    <row r="704">
      <c r="B704" s="8"/>
      <c r="C704" s="8"/>
      <c r="D704" s="8"/>
      <c r="E704" s="68"/>
      <c r="F704" s="129"/>
      <c r="G704" s="8"/>
      <c r="L704" s="157"/>
    </row>
    <row r="705">
      <c r="B705" s="8"/>
      <c r="C705" s="8"/>
      <c r="D705" s="8"/>
      <c r="E705" s="68"/>
      <c r="F705" s="129"/>
      <c r="G705" s="8"/>
      <c r="L705" s="157"/>
    </row>
    <row r="706">
      <c r="B706" s="8"/>
      <c r="C706" s="8"/>
      <c r="D706" s="8"/>
      <c r="E706" s="68"/>
      <c r="F706" s="129"/>
      <c r="G706" s="8"/>
      <c r="L706" s="157"/>
    </row>
    <row r="707">
      <c r="B707" s="8"/>
      <c r="C707" s="8"/>
      <c r="D707" s="8"/>
      <c r="E707" s="68"/>
      <c r="F707" s="129"/>
      <c r="G707" s="8"/>
      <c r="L707" s="157"/>
    </row>
    <row r="708">
      <c r="B708" s="8"/>
      <c r="C708" s="8"/>
      <c r="D708" s="8"/>
      <c r="E708" s="68"/>
      <c r="F708" s="129"/>
      <c r="G708" s="8"/>
      <c r="L708" s="157"/>
    </row>
    <row r="709">
      <c r="B709" s="8"/>
      <c r="C709" s="8"/>
      <c r="D709" s="8"/>
      <c r="E709" s="68"/>
      <c r="F709" s="129"/>
      <c r="G709" s="8"/>
      <c r="L709" s="157"/>
    </row>
    <row r="710">
      <c r="B710" s="8"/>
      <c r="C710" s="8"/>
      <c r="D710" s="8"/>
      <c r="E710" s="68"/>
      <c r="F710" s="129"/>
      <c r="G710" s="8"/>
      <c r="L710" s="157"/>
    </row>
    <row r="711">
      <c r="B711" s="8"/>
      <c r="C711" s="8"/>
      <c r="D711" s="8"/>
      <c r="E711" s="68"/>
      <c r="F711" s="129"/>
      <c r="G711" s="8"/>
      <c r="L711" s="157"/>
    </row>
    <row r="712">
      <c r="B712" s="8"/>
      <c r="C712" s="8"/>
      <c r="D712" s="8"/>
      <c r="E712" s="68"/>
      <c r="F712" s="129"/>
      <c r="G712" s="8"/>
      <c r="L712" s="157"/>
    </row>
    <row r="713">
      <c r="B713" s="8"/>
      <c r="C713" s="8"/>
      <c r="D713" s="8"/>
      <c r="E713" s="68"/>
      <c r="F713" s="129"/>
      <c r="G713" s="8"/>
      <c r="L713" s="157"/>
    </row>
    <row r="714">
      <c r="B714" s="8"/>
      <c r="C714" s="8"/>
      <c r="D714" s="8"/>
      <c r="E714" s="68"/>
      <c r="F714" s="129"/>
      <c r="G714" s="8"/>
      <c r="L714" s="157"/>
    </row>
    <row r="715">
      <c r="B715" s="8"/>
      <c r="C715" s="8"/>
      <c r="D715" s="8"/>
      <c r="E715" s="68"/>
      <c r="F715" s="129"/>
      <c r="G715" s="8"/>
      <c r="L715" s="157"/>
    </row>
    <row r="716">
      <c r="B716" s="8"/>
      <c r="C716" s="8"/>
      <c r="D716" s="8"/>
      <c r="E716" s="68"/>
      <c r="F716" s="129"/>
      <c r="G716" s="8"/>
      <c r="L716" s="157"/>
    </row>
    <row r="717">
      <c r="B717" s="8"/>
      <c r="C717" s="8"/>
      <c r="D717" s="8"/>
      <c r="E717" s="68"/>
      <c r="F717" s="129"/>
      <c r="G717" s="8"/>
      <c r="L717" s="157"/>
    </row>
    <row r="718">
      <c r="B718" s="8"/>
      <c r="C718" s="8"/>
      <c r="D718" s="8"/>
      <c r="E718" s="68"/>
      <c r="F718" s="129"/>
      <c r="G718" s="8"/>
      <c r="L718" s="157"/>
    </row>
    <row r="719">
      <c r="B719" s="8"/>
      <c r="C719" s="8"/>
      <c r="D719" s="8"/>
      <c r="E719" s="68"/>
      <c r="F719" s="129"/>
      <c r="G719" s="8"/>
      <c r="L719" s="157"/>
    </row>
    <row r="720">
      <c r="B720" s="8"/>
      <c r="C720" s="8"/>
      <c r="D720" s="8"/>
      <c r="E720" s="68"/>
      <c r="F720" s="129"/>
      <c r="G720" s="8"/>
      <c r="L720" s="157"/>
    </row>
    <row r="721">
      <c r="B721" s="8"/>
      <c r="C721" s="8"/>
      <c r="D721" s="8"/>
      <c r="E721" s="68"/>
      <c r="F721" s="129"/>
      <c r="G721" s="8"/>
      <c r="L721" s="157"/>
    </row>
    <row r="722">
      <c r="B722" s="8"/>
      <c r="C722" s="8"/>
      <c r="D722" s="8"/>
      <c r="E722" s="68"/>
      <c r="F722" s="129"/>
      <c r="G722" s="8"/>
      <c r="L722" s="157"/>
    </row>
    <row r="723">
      <c r="B723" s="8"/>
      <c r="C723" s="8"/>
      <c r="D723" s="8"/>
      <c r="E723" s="68"/>
      <c r="F723" s="129"/>
      <c r="G723" s="8"/>
      <c r="L723" s="157"/>
    </row>
    <row r="724">
      <c r="B724" s="8"/>
      <c r="C724" s="8"/>
      <c r="D724" s="8"/>
      <c r="E724" s="68"/>
      <c r="F724" s="129"/>
      <c r="G724" s="8"/>
      <c r="L724" s="157"/>
    </row>
    <row r="725">
      <c r="B725" s="8"/>
      <c r="C725" s="8"/>
      <c r="D725" s="8"/>
      <c r="E725" s="68"/>
      <c r="F725" s="129"/>
      <c r="G725" s="8"/>
      <c r="L725" s="157"/>
    </row>
    <row r="726">
      <c r="B726" s="8"/>
      <c r="C726" s="8"/>
      <c r="D726" s="8"/>
      <c r="E726" s="68"/>
      <c r="F726" s="129"/>
      <c r="G726" s="8"/>
      <c r="L726" s="157"/>
    </row>
    <row r="727">
      <c r="B727" s="8"/>
      <c r="C727" s="8"/>
      <c r="D727" s="8"/>
      <c r="E727" s="68"/>
      <c r="F727" s="129"/>
      <c r="G727" s="8"/>
      <c r="L727" s="157"/>
    </row>
    <row r="728">
      <c r="B728" s="8"/>
      <c r="C728" s="8"/>
      <c r="D728" s="8"/>
      <c r="E728" s="68"/>
      <c r="F728" s="129"/>
      <c r="G728" s="8"/>
      <c r="L728" s="157"/>
    </row>
    <row r="729">
      <c r="B729" s="8"/>
      <c r="C729" s="8"/>
      <c r="D729" s="8"/>
      <c r="E729" s="68"/>
      <c r="F729" s="129"/>
      <c r="G729" s="8"/>
      <c r="L729" s="157"/>
    </row>
    <row r="730">
      <c r="B730" s="8"/>
      <c r="C730" s="8"/>
      <c r="D730" s="8"/>
      <c r="E730" s="68"/>
      <c r="F730" s="129"/>
      <c r="G730" s="8"/>
      <c r="L730" s="157"/>
    </row>
    <row r="731">
      <c r="B731" s="8"/>
      <c r="C731" s="8"/>
      <c r="D731" s="8"/>
      <c r="E731" s="68"/>
      <c r="F731" s="129"/>
      <c r="G731" s="8"/>
      <c r="L731" s="157"/>
    </row>
    <row r="732">
      <c r="B732" s="8"/>
      <c r="C732" s="8"/>
      <c r="D732" s="8"/>
      <c r="E732" s="68"/>
      <c r="F732" s="129"/>
      <c r="G732" s="8"/>
      <c r="L732" s="157"/>
    </row>
    <row r="733">
      <c r="B733" s="8"/>
      <c r="C733" s="8"/>
      <c r="D733" s="8"/>
      <c r="E733" s="68"/>
      <c r="F733" s="129"/>
      <c r="G733" s="8"/>
      <c r="L733" s="157"/>
    </row>
    <row r="734">
      <c r="B734" s="8"/>
      <c r="C734" s="8"/>
      <c r="D734" s="8"/>
      <c r="E734" s="68"/>
      <c r="F734" s="129"/>
      <c r="G734" s="8"/>
      <c r="L734" s="157"/>
    </row>
    <row r="735">
      <c r="B735" s="8"/>
      <c r="C735" s="8"/>
      <c r="D735" s="8"/>
      <c r="E735" s="68"/>
      <c r="F735" s="129"/>
      <c r="G735" s="8"/>
      <c r="L735" s="157"/>
    </row>
    <row r="736">
      <c r="B736" s="8"/>
      <c r="C736" s="8"/>
      <c r="D736" s="8"/>
      <c r="E736" s="68"/>
      <c r="F736" s="129"/>
      <c r="G736" s="8"/>
      <c r="L736" s="157"/>
    </row>
    <row r="737">
      <c r="B737" s="8"/>
      <c r="C737" s="8"/>
      <c r="D737" s="8"/>
      <c r="E737" s="68"/>
      <c r="F737" s="129"/>
      <c r="G737" s="8"/>
      <c r="L737" s="157"/>
    </row>
    <row r="738">
      <c r="B738" s="8"/>
      <c r="C738" s="8"/>
      <c r="D738" s="8"/>
      <c r="E738" s="68"/>
      <c r="F738" s="129"/>
      <c r="G738" s="8"/>
      <c r="L738" s="157"/>
    </row>
    <row r="739">
      <c r="B739" s="8"/>
      <c r="C739" s="8"/>
      <c r="D739" s="8"/>
      <c r="E739" s="68"/>
      <c r="F739" s="129"/>
      <c r="G739" s="8"/>
      <c r="L739" s="157"/>
    </row>
    <row r="740">
      <c r="B740" s="8"/>
      <c r="C740" s="8"/>
      <c r="D740" s="8"/>
      <c r="E740" s="68"/>
      <c r="F740" s="129"/>
      <c r="G740" s="8"/>
      <c r="L740" s="157"/>
    </row>
    <row r="741">
      <c r="B741" s="8"/>
      <c r="C741" s="8"/>
      <c r="D741" s="8"/>
      <c r="E741" s="68"/>
      <c r="F741" s="129"/>
      <c r="G741" s="8"/>
      <c r="L741" s="157"/>
    </row>
    <row r="742">
      <c r="B742" s="8"/>
      <c r="C742" s="8"/>
      <c r="D742" s="8"/>
      <c r="E742" s="68"/>
      <c r="F742" s="129"/>
      <c r="G742" s="8"/>
      <c r="L742" s="157"/>
    </row>
    <row r="743">
      <c r="B743" s="8"/>
      <c r="C743" s="8"/>
      <c r="D743" s="8"/>
      <c r="E743" s="68"/>
      <c r="F743" s="129"/>
      <c r="G743" s="8"/>
      <c r="L743" s="157"/>
    </row>
    <row r="744">
      <c r="B744" s="8"/>
      <c r="C744" s="8"/>
      <c r="D744" s="8"/>
      <c r="E744" s="68"/>
      <c r="F744" s="129"/>
      <c r="G744" s="8"/>
      <c r="L744" s="157"/>
    </row>
    <row r="745">
      <c r="B745" s="8"/>
      <c r="C745" s="8"/>
      <c r="D745" s="8"/>
      <c r="E745" s="68"/>
      <c r="F745" s="129"/>
      <c r="G745" s="8"/>
      <c r="L745" s="157"/>
    </row>
    <row r="746">
      <c r="B746" s="8"/>
      <c r="C746" s="8"/>
      <c r="D746" s="8"/>
      <c r="E746" s="68"/>
      <c r="F746" s="129"/>
      <c r="G746" s="8"/>
      <c r="L746" s="157"/>
    </row>
    <row r="747">
      <c r="B747" s="8"/>
      <c r="C747" s="8"/>
      <c r="D747" s="8"/>
      <c r="E747" s="68"/>
      <c r="F747" s="129"/>
      <c r="G747" s="8"/>
      <c r="L747" s="157"/>
    </row>
    <row r="748">
      <c r="B748" s="8"/>
      <c r="C748" s="8"/>
      <c r="D748" s="8"/>
      <c r="E748" s="68"/>
      <c r="F748" s="129"/>
      <c r="G748" s="8"/>
      <c r="L748" s="157"/>
    </row>
    <row r="749">
      <c r="B749" s="8"/>
      <c r="C749" s="8"/>
      <c r="D749" s="8"/>
      <c r="E749" s="68"/>
      <c r="F749" s="129"/>
      <c r="G749" s="8"/>
      <c r="L749" s="157"/>
    </row>
    <row r="750">
      <c r="B750" s="8"/>
      <c r="C750" s="8"/>
      <c r="D750" s="8"/>
      <c r="E750" s="68"/>
      <c r="F750" s="129"/>
      <c r="G750" s="8"/>
      <c r="L750" s="157"/>
    </row>
    <row r="751">
      <c r="B751" s="8"/>
      <c r="C751" s="8"/>
      <c r="D751" s="8"/>
      <c r="E751" s="68"/>
      <c r="F751" s="129"/>
      <c r="G751" s="8"/>
      <c r="L751" s="157"/>
    </row>
    <row r="752">
      <c r="B752" s="8"/>
      <c r="C752" s="8"/>
      <c r="D752" s="8"/>
      <c r="E752" s="68"/>
      <c r="F752" s="129"/>
      <c r="G752" s="8"/>
      <c r="L752" s="157"/>
    </row>
    <row r="753">
      <c r="B753" s="8"/>
      <c r="C753" s="8"/>
      <c r="D753" s="8"/>
      <c r="E753" s="68"/>
      <c r="F753" s="129"/>
      <c r="G753" s="8"/>
      <c r="L753" s="157"/>
    </row>
    <row r="754">
      <c r="B754" s="8"/>
      <c r="C754" s="8"/>
      <c r="D754" s="8"/>
      <c r="E754" s="68"/>
      <c r="F754" s="129"/>
      <c r="G754" s="8"/>
      <c r="L754" s="157"/>
    </row>
    <row r="755">
      <c r="B755" s="8"/>
      <c r="C755" s="8"/>
      <c r="D755" s="8"/>
      <c r="E755" s="68"/>
      <c r="F755" s="129"/>
      <c r="G755" s="8"/>
      <c r="L755" s="157"/>
    </row>
    <row r="756">
      <c r="B756" s="8"/>
      <c r="C756" s="8"/>
      <c r="D756" s="8"/>
      <c r="E756" s="68"/>
      <c r="F756" s="129"/>
      <c r="G756" s="8"/>
      <c r="L756" s="157"/>
    </row>
    <row r="757">
      <c r="B757" s="8"/>
      <c r="C757" s="8"/>
      <c r="D757" s="8"/>
      <c r="E757" s="68"/>
      <c r="F757" s="129"/>
      <c r="G757" s="8"/>
      <c r="L757" s="157"/>
    </row>
    <row r="758">
      <c r="B758" s="8"/>
      <c r="C758" s="8"/>
      <c r="D758" s="8"/>
      <c r="E758" s="68"/>
      <c r="F758" s="129"/>
      <c r="G758" s="8"/>
      <c r="L758" s="157"/>
    </row>
    <row r="759">
      <c r="B759" s="8"/>
      <c r="C759" s="8"/>
      <c r="D759" s="8"/>
      <c r="E759" s="68"/>
      <c r="F759" s="129"/>
      <c r="G759" s="8"/>
      <c r="L759" s="157"/>
    </row>
    <row r="760">
      <c r="B760" s="8"/>
      <c r="C760" s="8"/>
      <c r="D760" s="8"/>
      <c r="E760" s="68"/>
      <c r="F760" s="129"/>
      <c r="G760" s="8"/>
      <c r="L760" s="157"/>
    </row>
    <row r="761">
      <c r="B761" s="8"/>
      <c r="C761" s="8"/>
      <c r="D761" s="8"/>
      <c r="E761" s="68"/>
      <c r="F761" s="129"/>
      <c r="G761" s="8"/>
      <c r="L761" s="157"/>
    </row>
    <row r="762">
      <c r="B762" s="8"/>
      <c r="C762" s="8"/>
      <c r="D762" s="8"/>
      <c r="E762" s="68"/>
      <c r="F762" s="129"/>
      <c r="G762" s="8"/>
      <c r="L762" s="157"/>
    </row>
    <row r="763">
      <c r="B763" s="8"/>
      <c r="C763" s="8"/>
      <c r="D763" s="8"/>
      <c r="E763" s="68"/>
      <c r="F763" s="129"/>
      <c r="G763" s="8"/>
      <c r="L763" s="157"/>
    </row>
    <row r="764">
      <c r="B764" s="8"/>
      <c r="C764" s="8"/>
      <c r="D764" s="8"/>
      <c r="E764" s="68"/>
      <c r="F764" s="129"/>
      <c r="G764" s="8"/>
      <c r="L764" s="157"/>
    </row>
    <row r="765">
      <c r="B765" s="8"/>
      <c r="C765" s="8"/>
      <c r="D765" s="8"/>
      <c r="E765" s="68"/>
      <c r="F765" s="129"/>
      <c r="G765" s="8"/>
      <c r="L765" s="157"/>
    </row>
    <row r="766">
      <c r="B766" s="8"/>
      <c r="C766" s="8"/>
      <c r="D766" s="8"/>
      <c r="E766" s="68"/>
      <c r="F766" s="129"/>
      <c r="G766" s="8"/>
      <c r="L766" s="157"/>
    </row>
    <row r="767">
      <c r="B767" s="8"/>
      <c r="C767" s="8"/>
      <c r="D767" s="8"/>
      <c r="E767" s="68"/>
      <c r="F767" s="129"/>
      <c r="G767" s="8"/>
      <c r="L767" s="157"/>
    </row>
    <row r="768">
      <c r="B768" s="8"/>
      <c r="C768" s="8"/>
      <c r="D768" s="8"/>
      <c r="E768" s="68"/>
      <c r="F768" s="129"/>
      <c r="G768" s="8"/>
      <c r="L768" s="157"/>
    </row>
    <row r="769">
      <c r="B769" s="8"/>
      <c r="C769" s="8"/>
      <c r="D769" s="8"/>
      <c r="E769" s="68"/>
      <c r="F769" s="129"/>
      <c r="G769" s="8"/>
      <c r="L769" s="157"/>
    </row>
    <row r="770">
      <c r="B770" s="8"/>
      <c r="C770" s="8"/>
      <c r="D770" s="8"/>
      <c r="E770" s="68"/>
      <c r="F770" s="129"/>
      <c r="G770" s="8"/>
      <c r="L770" s="157"/>
    </row>
    <row r="771">
      <c r="B771" s="8"/>
      <c r="C771" s="8"/>
      <c r="D771" s="8"/>
      <c r="E771" s="68"/>
      <c r="F771" s="129"/>
      <c r="G771" s="8"/>
      <c r="L771" s="157"/>
    </row>
    <row r="772">
      <c r="B772" s="8"/>
      <c r="C772" s="8"/>
      <c r="D772" s="8"/>
      <c r="E772" s="68"/>
      <c r="F772" s="129"/>
      <c r="G772" s="8"/>
      <c r="L772" s="157"/>
    </row>
    <row r="773">
      <c r="B773" s="8"/>
      <c r="C773" s="8"/>
      <c r="D773" s="8"/>
      <c r="E773" s="68"/>
      <c r="F773" s="129"/>
      <c r="G773" s="8"/>
      <c r="L773" s="157"/>
    </row>
    <row r="774">
      <c r="B774" s="8"/>
      <c r="C774" s="8"/>
      <c r="D774" s="8"/>
      <c r="E774" s="68"/>
      <c r="F774" s="129"/>
      <c r="G774" s="8"/>
      <c r="L774" s="157"/>
    </row>
    <row r="775">
      <c r="B775" s="8"/>
      <c r="C775" s="8"/>
      <c r="D775" s="8"/>
      <c r="E775" s="68"/>
      <c r="F775" s="129"/>
      <c r="G775" s="8"/>
      <c r="L775" s="157"/>
    </row>
    <row r="776">
      <c r="B776" s="8"/>
      <c r="C776" s="8"/>
      <c r="D776" s="8"/>
      <c r="E776" s="68"/>
      <c r="F776" s="129"/>
      <c r="G776" s="8"/>
      <c r="L776" s="157"/>
    </row>
    <row r="777">
      <c r="B777" s="8"/>
      <c r="C777" s="8"/>
      <c r="D777" s="8"/>
      <c r="E777" s="68"/>
      <c r="F777" s="129"/>
      <c r="G777" s="8"/>
      <c r="L777" s="157"/>
    </row>
    <row r="778">
      <c r="B778" s="8"/>
      <c r="C778" s="8"/>
      <c r="D778" s="8"/>
      <c r="E778" s="68"/>
      <c r="F778" s="129"/>
      <c r="G778" s="8"/>
      <c r="L778" s="157"/>
    </row>
    <row r="779">
      <c r="B779" s="8"/>
      <c r="C779" s="8"/>
      <c r="D779" s="8"/>
      <c r="E779" s="68"/>
      <c r="F779" s="129"/>
      <c r="G779" s="8"/>
      <c r="L779" s="157"/>
    </row>
    <row r="780">
      <c r="B780" s="8"/>
      <c r="C780" s="8"/>
      <c r="D780" s="8"/>
      <c r="E780" s="68"/>
      <c r="F780" s="129"/>
      <c r="G780" s="8"/>
      <c r="L780" s="157"/>
    </row>
    <row r="781">
      <c r="B781" s="8"/>
      <c r="C781" s="8"/>
      <c r="D781" s="8"/>
      <c r="E781" s="68"/>
      <c r="F781" s="129"/>
      <c r="G781" s="8"/>
      <c r="L781" s="157"/>
    </row>
    <row r="782">
      <c r="B782" s="8"/>
      <c r="C782" s="8"/>
      <c r="D782" s="8"/>
      <c r="E782" s="68"/>
      <c r="F782" s="129"/>
      <c r="G782" s="8"/>
      <c r="L782" s="157"/>
    </row>
    <row r="783">
      <c r="B783" s="8"/>
      <c r="C783" s="8"/>
      <c r="D783" s="8"/>
      <c r="E783" s="68"/>
      <c r="F783" s="129"/>
      <c r="G783" s="8"/>
      <c r="L783" s="157"/>
    </row>
    <row r="784">
      <c r="B784" s="8"/>
      <c r="C784" s="8"/>
      <c r="D784" s="8"/>
      <c r="E784" s="68"/>
      <c r="F784" s="129"/>
      <c r="G784" s="8"/>
      <c r="L784" s="157"/>
    </row>
    <row r="785">
      <c r="B785" s="8"/>
      <c r="C785" s="8"/>
      <c r="D785" s="8"/>
      <c r="E785" s="68"/>
      <c r="F785" s="129"/>
      <c r="G785" s="8"/>
      <c r="L785" s="157"/>
    </row>
    <row r="786">
      <c r="B786" s="8"/>
      <c r="C786" s="8"/>
      <c r="D786" s="8"/>
      <c r="E786" s="68"/>
      <c r="F786" s="129"/>
      <c r="G786" s="8"/>
      <c r="L786" s="157"/>
    </row>
    <row r="787">
      <c r="B787" s="8"/>
      <c r="C787" s="8"/>
      <c r="D787" s="8"/>
      <c r="E787" s="68"/>
      <c r="F787" s="129"/>
      <c r="G787" s="8"/>
      <c r="L787" s="157"/>
    </row>
    <row r="788">
      <c r="B788" s="8"/>
      <c r="C788" s="8"/>
      <c r="D788" s="8"/>
      <c r="E788" s="68"/>
      <c r="F788" s="129"/>
      <c r="G788" s="8"/>
      <c r="L788" s="157"/>
    </row>
    <row r="789">
      <c r="B789" s="8"/>
      <c r="C789" s="8"/>
      <c r="D789" s="8"/>
      <c r="E789" s="68"/>
      <c r="F789" s="129"/>
      <c r="G789" s="8"/>
      <c r="L789" s="157"/>
    </row>
    <row r="790">
      <c r="B790" s="8"/>
      <c r="C790" s="8"/>
      <c r="D790" s="8"/>
      <c r="E790" s="68"/>
      <c r="F790" s="129"/>
      <c r="G790" s="8"/>
      <c r="L790" s="157"/>
    </row>
    <row r="791">
      <c r="B791" s="8"/>
      <c r="C791" s="8"/>
      <c r="D791" s="8"/>
      <c r="E791" s="68"/>
      <c r="F791" s="129"/>
      <c r="G791" s="8"/>
      <c r="L791" s="157"/>
    </row>
    <row r="792">
      <c r="B792" s="8"/>
      <c r="C792" s="8"/>
      <c r="D792" s="8"/>
      <c r="E792" s="68"/>
      <c r="F792" s="129"/>
      <c r="G792" s="8"/>
      <c r="L792" s="157"/>
    </row>
    <row r="793">
      <c r="B793" s="8"/>
      <c r="C793" s="8"/>
      <c r="D793" s="8"/>
      <c r="E793" s="68"/>
      <c r="F793" s="129"/>
      <c r="G793" s="8"/>
      <c r="L793" s="157"/>
    </row>
    <row r="794">
      <c r="B794" s="8"/>
      <c r="C794" s="8"/>
      <c r="D794" s="8"/>
      <c r="E794" s="68"/>
      <c r="F794" s="129"/>
      <c r="G794" s="8"/>
      <c r="L794" s="157"/>
    </row>
    <row r="795">
      <c r="B795" s="8"/>
      <c r="C795" s="8"/>
      <c r="D795" s="8"/>
      <c r="E795" s="68"/>
      <c r="F795" s="129"/>
      <c r="G795" s="8"/>
      <c r="L795" s="157"/>
    </row>
    <row r="796">
      <c r="B796" s="8"/>
      <c r="C796" s="8"/>
      <c r="D796" s="8"/>
      <c r="E796" s="68"/>
      <c r="F796" s="129"/>
      <c r="G796" s="8"/>
      <c r="L796" s="157"/>
    </row>
    <row r="797">
      <c r="B797" s="8"/>
      <c r="C797" s="8"/>
      <c r="D797" s="8"/>
      <c r="E797" s="68"/>
      <c r="F797" s="129"/>
      <c r="G797" s="8"/>
      <c r="L797" s="157"/>
    </row>
    <row r="798">
      <c r="B798" s="8"/>
      <c r="C798" s="8"/>
      <c r="D798" s="8"/>
      <c r="E798" s="68"/>
      <c r="F798" s="129"/>
      <c r="G798" s="8"/>
      <c r="L798" s="157"/>
    </row>
    <row r="799">
      <c r="B799" s="8"/>
      <c r="C799" s="8"/>
      <c r="D799" s="8"/>
      <c r="E799" s="68"/>
      <c r="F799" s="129"/>
      <c r="G799" s="8"/>
      <c r="L799" s="157"/>
    </row>
    <row r="800">
      <c r="B800" s="8"/>
      <c r="C800" s="8"/>
      <c r="D800" s="8"/>
      <c r="E800" s="68"/>
      <c r="F800" s="129"/>
      <c r="G800" s="8"/>
      <c r="L800" s="157"/>
    </row>
    <row r="801">
      <c r="B801" s="8"/>
      <c r="C801" s="8"/>
      <c r="D801" s="8"/>
      <c r="E801" s="68"/>
      <c r="F801" s="129"/>
      <c r="G801" s="8"/>
      <c r="L801" s="157"/>
    </row>
    <row r="802">
      <c r="B802" s="8"/>
      <c r="C802" s="8"/>
      <c r="D802" s="8"/>
      <c r="E802" s="68"/>
      <c r="F802" s="129"/>
      <c r="G802" s="8"/>
      <c r="L802" s="157"/>
    </row>
    <row r="803">
      <c r="B803" s="8"/>
      <c r="C803" s="8"/>
      <c r="D803" s="8"/>
      <c r="E803" s="68"/>
      <c r="F803" s="129"/>
      <c r="G803" s="8"/>
      <c r="L803" s="157"/>
    </row>
    <row r="804">
      <c r="B804" s="8"/>
      <c r="C804" s="8"/>
      <c r="D804" s="8"/>
      <c r="E804" s="68"/>
      <c r="F804" s="129"/>
      <c r="G804" s="8"/>
      <c r="L804" s="157"/>
    </row>
    <row r="805">
      <c r="B805" s="8"/>
      <c r="C805" s="8"/>
      <c r="D805" s="8"/>
      <c r="E805" s="68"/>
      <c r="F805" s="129"/>
      <c r="G805" s="8"/>
      <c r="L805" s="157"/>
    </row>
    <row r="806">
      <c r="B806" s="8"/>
      <c r="C806" s="8"/>
      <c r="D806" s="8"/>
      <c r="E806" s="68"/>
      <c r="F806" s="129"/>
      <c r="G806" s="8"/>
      <c r="L806" s="157"/>
    </row>
    <row r="807">
      <c r="B807" s="8"/>
      <c r="C807" s="8"/>
      <c r="D807" s="8"/>
      <c r="E807" s="68"/>
      <c r="F807" s="129"/>
      <c r="G807" s="8"/>
      <c r="L807" s="157"/>
    </row>
    <row r="808">
      <c r="B808" s="8"/>
      <c r="C808" s="8"/>
      <c r="D808" s="8"/>
      <c r="E808" s="68"/>
      <c r="F808" s="129"/>
      <c r="G808" s="8"/>
      <c r="L808" s="157"/>
    </row>
    <row r="809">
      <c r="B809" s="8"/>
      <c r="C809" s="8"/>
      <c r="D809" s="8"/>
      <c r="E809" s="68"/>
      <c r="F809" s="129"/>
      <c r="G809" s="8"/>
      <c r="L809" s="157"/>
    </row>
    <row r="810">
      <c r="B810" s="8"/>
      <c r="C810" s="8"/>
      <c r="D810" s="8"/>
      <c r="E810" s="68"/>
      <c r="F810" s="129"/>
      <c r="G810" s="8"/>
      <c r="L810" s="157"/>
    </row>
    <row r="811">
      <c r="B811" s="8"/>
      <c r="C811" s="8"/>
      <c r="D811" s="8"/>
      <c r="E811" s="68"/>
      <c r="F811" s="129"/>
      <c r="G811" s="8"/>
      <c r="L811" s="157"/>
    </row>
    <row r="812">
      <c r="B812" s="8"/>
      <c r="C812" s="8"/>
      <c r="D812" s="8"/>
      <c r="E812" s="68"/>
      <c r="F812" s="129"/>
      <c r="G812" s="8"/>
      <c r="L812" s="157"/>
    </row>
    <row r="813">
      <c r="B813" s="8"/>
      <c r="C813" s="8"/>
      <c r="D813" s="8"/>
      <c r="E813" s="68"/>
      <c r="F813" s="129"/>
      <c r="G813" s="8"/>
      <c r="L813" s="157"/>
    </row>
    <row r="814">
      <c r="B814" s="8"/>
      <c r="C814" s="8"/>
      <c r="D814" s="8"/>
      <c r="E814" s="68"/>
      <c r="F814" s="129"/>
      <c r="G814" s="8"/>
      <c r="L814" s="157"/>
    </row>
    <row r="815">
      <c r="B815" s="8"/>
      <c r="C815" s="8"/>
      <c r="D815" s="8"/>
      <c r="E815" s="68"/>
      <c r="F815" s="129"/>
      <c r="G815" s="8"/>
      <c r="L815" s="157"/>
    </row>
    <row r="816">
      <c r="B816" s="8"/>
      <c r="C816" s="8"/>
      <c r="D816" s="8"/>
      <c r="E816" s="68"/>
      <c r="F816" s="129"/>
      <c r="G816" s="8"/>
      <c r="L816" s="157"/>
    </row>
    <row r="817">
      <c r="B817" s="8"/>
      <c r="C817" s="8"/>
      <c r="D817" s="8"/>
      <c r="E817" s="68"/>
      <c r="F817" s="129"/>
      <c r="G817" s="8"/>
      <c r="L817" s="157"/>
    </row>
    <row r="818">
      <c r="B818" s="8"/>
      <c r="C818" s="8"/>
      <c r="D818" s="8"/>
      <c r="E818" s="68"/>
      <c r="F818" s="129"/>
      <c r="G818" s="8"/>
      <c r="L818" s="157"/>
    </row>
    <row r="819">
      <c r="B819" s="8"/>
      <c r="C819" s="8"/>
      <c r="D819" s="8"/>
      <c r="E819" s="68"/>
      <c r="F819" s="129"/>
      <c r="G819" s="8"/>
      <c r="L819" s="157"/>
    </row>
    <row r="820">
      <c r="B820" s="8"/>
      <c r="C820" s="8"/>
      <c r="D820" s="8"/>
      <c r="E820" s="68"/>
      <c r="F820" s="129"/>
      <c r="G820" s="8"/>
      <c r="L820" s="157"/>
    </row>
    <row r="821">
      <c r="B821" s="8"/>
      <c r="C821" s="8"/>
      <c r="D821" s="8"/>
      <c r="E821" s="68"/>
      <c r="F821" s="129"/>
      <c r="G821" s="8"/>
      <c r="L821" s="157"/>
    </row>
    <row r="822">
      <c r="B822" s="8"/>
      <c r="C822" s="8"/>
      <c r="D822" s="8"/>
      <c r="E822" s="68"/>
      <c r="F822" s="129"/>
      <c r="G822" s="8"/>
      <c r="L822" s="157"/>
    </row>
    <row r="823">
      <c r="B823" s="8"/>
      <c r="C823" s="8"/>
      <c r="D823" s="8"/>
      <c r="E823" s="68"/>
      <c r="F823" s="129"/>
      <c r="G823" s="8"/>
      <c r="L823" s="157"/>
    </row>
    <row r="824">
      <c r="B824" s="8"/>
      <c r="C824" s="8"/>
      <c r="D824" s="8"/>
      <c r="E824" s="68"/>
      <c r="F824" s="129"/>
      <c r="G824" s="8"/>
      <c r="L824" s="157"/>
    </row>
    <row r="825">
      <c r="B825" s="8"/>
      <c r="C825" s="8"/>
      <c r="D825" s="8"/>
      <c r="E825" s="68"/>
      <c r="F825" s="129"/>
      <c r="G825" s="8"/>
      <c r="L825" s="157"/>
    </row>
    <row r="826">
      <c r="B826" s="8"/>
      <c r="C826" s="8"/>
      <c r="D826" s="8"/>
      <c r="E826" s="68"/>
      <c r="F826" s="129"/>
      <c r="G826" s="8"/>
      <c r="L826" s="157"/>
    </row>
    <row r="827">
      <c r="B827" s="8"/>
      <c r="C827" s="8"/>
      <c r="D827" s="8"/>
      <c r="E827" s="68"/>
      <c r="F827" s="129"/>
      <c r="G827" s="8"/>
      <c r="L827" s="157"/>
    </row>
    <row r="828">
      <c r="B828" s="8"/>
      <c r="C828" s="8"/>
      <c r="D828" s="8"/>
      <c r="E828" s="68"/>
      <c r="F828" s="129"/>
      <c r="G828" s="8"/>
      <c r="L828" s="157"/>
    </row>
    <row r="829">
      <c r="B829" s="8"/>
      <c r="C829" s="8"/>
      <c r="D829" s="8"/>
      <c r="E829" s="68"/>
      <c r="F829" s="129"/>
      <c r="G829" s="8"/>
      <c r="L829" s="157"/>
    </row>
    <row r="830">
      <c r="B830" s="8"/>
      <c r="C830" s="8"/>
      <c r="D830" s="8"/>
      <c r="E830" s="68"/>
      <c r="F830" s="129"/>
      <c r="G830" s="8"/>
      <c r="L830" s="157"/>
    </row>
    <row r="831">
      <c r="B831" s="8"/>
      <c r="C831" s="8"/>
      <c r="D831" s="8"/>
      <c r="E831" s="68"/>
      <c r="F831" s="129"/>
      <c r="G831" s="8"/>
      <c r="L831" s="157"/>
    </row>
    <row r="832">
      <c r="B832" s="8"/>
      <c r="C832" s="8"/>
      <c r="D832" s="8"/>
      <c r="E832" s="68"/>
      <c r="F832" s="129"/>
      <c r="G832" s="8"/>
      <c r="L832" s="157"/>
    </row>
    <row r="833">
      <c r="B833" s="8"/>
      <c r="C833" s="8"/>
      <c r="D833" s="8"/>
      <c r="E833" s="68"/>
      <c r="F833" s="129"/>
      <c r="G833" s="8"/>
      <c r="L833" s="157"/>
    </row>
    <row r="834">
      <c r="B834" s="8"/>
      <c r="C834" s="8"/>
      <c r="D834" s="8"/>
      <c r="E834" s="68"/>
      <c r="F834" s="129"/>
      <c r="G834" s="8"/>
      <c r="L834" s="157"/>
    </row>
    <row r="835">
      <c r="B835" s="8"/>
      <c r="C835" s="8"/>
      <c r="D835" s="8"/>
      <c r="E835" s="68"/>
      <c r="F835" s="129"/>
      <c r="G835" s="8"/>
      <c r="L835" s="157"/>
    </row>
    <row r="836">
      <c r="B836" s="8"/>
      <c r="C836" s="8"/>
      <c r="D836" s="8"/>
      <c r="E836" s="68"/>
      <c r="F836" s="129"/>
      <c r="G836" s="8"/>
      <c r="L836" s="157"/>
    </row>
    <row r="837">
      <c r="B837" s="8"/>
      <c r="C837" s="8"/>
      <c r="D837" s="8"/>
      <c r="E837" s="68"/>
      <c r="F837" s="129"/>
      <c r="G837" s="8"/>
      <c r="L837" s="157"/>
    </row>
    <row r="838">
      <c r="B838" s="8"/>
      <c r="C838" s="8"/>
      <c r="D838" s="8"/>
      <c r="E838" s="68"/>
      <c r="F838" s="129"/>
      <c r="G838" s="8"/>
      <c r="L838" s="157"/>
    </row>
    <row r="839">
      <c r="B839" s="8"/>
      <c r="C839" s="8"/>
      <c r="D839" s="8"/>
      <c r="E839" s="68"/>
      <c r="F839" s="129"/>
      <c r="G839" s="8"/>
      <c r="L839" s="157"/>
    </row>
    <row r="840">
      <c r="B840" s="8"/>
      <c r="C840" s="8"/>
      <c r="D840" s="8"/>
      <c r="E840" s="68"/>
      <c r="F840" s="129"/>
      <c r="G840" s="8"/>
      <c r="L840" s="157"/>
    </row>
    <row r="841">
      <c r="B841" s="8"/>
      <c r="C841" s="8"/>
      <c r="D841" s="8"/>
      <c r="E841" s="68"/>
      <c r="F841" s="129"/>
      <c r="G841" s="8"/>
      <c r="L841" s="157"/>
    </row>
    <row r="842">
      <c r="B842" s="8"/>
      <c r="C842" s="8"/>
      <c r="D842" s="8"/>
      <c r="E842" s="68"/>
      <c r="F842" s="129"/>
      <c r="G842" s="8"/>
      <c r="L842" s="157"/>
    </row>
    <row r="843">
      <c r="B843" s="8"/>
      <c r="C843" s="8"/>
      <c r="D843" s="8"/>
      <c r="E843" s="68"/>
      <c r="F843" s="129"/>
      <c r="G843" s="8"/>
      <c r="L843" s="157"/>
    </row>
    <row r="844">
      <c r="B844" s="8"/>
      <c r="C844" s="8"/>
      <c r="D844" s="8"/>
      <c r="E844" s="68"/>
      <c r="F844" s="129"/>
      <c r="G844" s="8"/>
      <c r="L844" s="157"/>
    </row>
    <row r="845">
      <c r="B845" s="8"/>
      <c r="C845" s="8"/>
      <c r="D845" s="8"/>
      <c r="E845" s="68"/>
      <c r="F845" s="129"/>
      <c r="G845" s="8"/>
      <c r="L845" s="157"/>
    </row>
    <row r="846">
      <c r="B846" s="8"/>
      <c r="C846" s="8"/>
      <c r="D846" s="8"/>
      <c r="E846" s="68"/>
      <c r="F846" s="129"/>
      <c r="G846" s="8"/>
      <c r="L846" s="157"/>
    </row>
    <row r="847">
      <c r="B847" s="8"/>
      <c r="C847" s="8"/>
      <c r="D847" s="8"/>
      <c r="E847" s="68"/>
      <c r="F847" s="129"/>
      <c r="G847" s="8"/>
      <c r="L847" s="157"/>
    </row>
    <row r="848">
      <c r="B848" s="8"/>
      <c r="C848" s="8"/>
      <c r="D848" s="8"/>
      <c r="E848" s="68"/>
      <c r="F848" s="129"/>
      <c r="G848" s="8"/>
      <c r="L848" s="157"/>
    </row>
    <row r="849">
      <c r="B849" s="8"/>
      <c r="C849" s="8"/>
      <c r="D849" s="8"/>
      <c r="E849" s="68"/>
      <c r="F849" s="129"/>
      <c r="G849" s="8"/>
      <c r="L849" s="157"/>
    </row>
    <row r="850">
      <c r="B850" s="8"/>
      <c r="C850" s="8"/>
      <c r="D850" s="8"/>
      <c r="E850" s="68"/>
      <c r="F850" s="129"/>
      <c r="G850" s="8"/>
      <c r="L850" s="157"/>
    </row>
    <row r="851">
      <c r="B851" s="8"/>
      <c r="C851" s="8"/>
      <c r="D851" s="8"/>
      <c r="E851" s="68"/>
      <c r="F851" s="129"/>
      <c r="G851" s="8"/>
      <c r="L851" s="157"/>
    </row>
    <row r="852">
      <c r="B852" s="8"/>
      <c r="C852" s="8"/>
      <c r="D852" s="8"/>
      <c r="E852" s="68"/>
      <c r="F852" s="129"/>
      <c r="G852" s="8"/>
      <c r="L852" s="157"/>
    </row>
    <row r="853">
      <c r="B853" s="8"/>
      <c r="C853" s="8"/>
      <c r="D853" s="8"/>
      <c r="E853" s="68"/>
      <c r="F853" s="129"/>
      <c r="G853" s="8"/>
      <c r="L853" s="157"/>
    </row>
    <row r="854">
      <c r="B854" s="8"/>
      <c r="C854" s="8"/>
      <c r="D854" s="8"/>
      <c r="E854" s="68"/>
      <c r="F854" s="129"/>
      <c r="G854" s="8"/>
      <c r="L854" s="157"/>
    </row>
    <row r="855">
      <c r="B855" s="8"/>
      <c r="C855" s="8"/>
      <c r="D855" s="8"/>
      <c r="E855" s="68"/>
      <c r="F855" s="129"/>
      <c r="G855" s="8"/>
      <c r="L855" s="157"/>
    </row>
    <row r="856">
      <c r="B856" s="8"/>
      <c r="C856" s="8"/>
      <c r="D856" s="8"/>
      <c r="E856" s="68"/>
      <c r="F856" s="129"/>
      <c r="G856" s="8"/>
      <c r="L856" s="157"/>
    </row>
    <row r="857">
      <c r="B857" s="8"/>
      <c r="C857" s="8"/>
      <c r="D857" s="8"/>
      <c r="E857" s="68"/>
      <c r="F857" s="129"/>
      <c r="G857" s="8"/>
      <c r="L857" s="157"/>
    </row>
    <row r="858">
      <c r="B858" s="8"/>
      <c r="C858" s="8"/>
      <c r="D858" s="8"/>
      <c r="E858" s="68"/>
      <c r="F858" s="129"/>
      <c r="G858" s="8"/>
      <c r="L858" s="157"/>
    </row>
    <row r="859">
      <c r="B859" s="8"/>
      <c r="C859" s="8"/>
      <c r="D859" s="8"/>
      <c r="E859" s="68"/>
      <c r="F859" s="129"/>
      <c r="G859" s="8"/>
      <c r="L859" s="157"/>
    </row>
    <row r="860">
      <c r="B860" s="8"/>
      <c r="C860" s="8"/>
      <c r="D860" s="8"/>
      <c r="E860" s="68"/>
      <c r="F860" s="129"/>
      <c r="G860" s="8"/>
      <c r="L860" s="157"/>
    </row>
    <row r="861">
      <c r="B861" s="8"/>
      <c r="C861" s="8"/>
      <c r="D861" s="8"/>
      <c r="E861" s="68"/>
      <c r="F861" s="129"/>
      <c r="G861" s="8"/>
      <c r="L861" s="157"/>
    </row>
    <row r="862">
      <c r="B862" s="8"/>
      <c r="C862" s="8"/>
      <c r="D862" s="8"/>
      <c r="E862" s="68"/>
      <c r="F862" s="129"/>
      <c r="G862" s="8"/>
      <c r="L862" s="157"/>
    </row>
    <row r="863">
      <c r="B863" s="8"/>
      <c r="C863" s="8"/>
      <c r="D863" s="8"/>
      <c r="E863" s="68"/>
      <c r="F863" s="129"/>
      <c r="G863" s="8"/>
      <c r="L863" s="157"/>
    </row>
    <row r="864">
      <c r="B864" s="8"/>
      <c r="C864" s="8"/>
      <c r="D864" s="8"/>
      <c r="E864" s="68"/>
      <c r="F864" s="129"/>
      <c r="G864" s="8"/>
      <c r="L864" s="157"/>
    </row>
    <row r="865">
      <c r="B865" s="8"/>
      <c r="C865" s="8"/>
      <c r="D865" s="8"/>
      <c r="E865" s="68"/>
      <c r="F865" s="129"/>
      <c r="G865" s="8"/>
      <c r="L865" s="157"/>
    </row>
    <row r="866">
      <c r="B866" s="8"/>
      <c r="C866" s="8"/>
      <c r="D866" s="8"/>
      <c r="E866" s="68"/>
      <c r="F866" s="129"/>
      <c r="G866" s="8"/>
      <c r="L866" s="157"/>
    </row>
    <row r="867">
      <c r="B867" s="8"/>
      <c r="C867" s="8"/>
      <c r="D867" s="8"/>
      <c r="E867" s="68"/>
      <c r="F867" s="129"/>
      <c r="G867" s="8"/>
      <c r="L867" s="157"/>
    </row>
    <row r="868">
      <c r="B868" s="8"/>
      <c r="C868" s="8"/>
      <c r="D868" s="8"/>
      <c r="E868" s="68"/>
      <c r="F868" s="129"/>
      <c r="G868" s="8"/>
      <c r="L868" s="157"/>
    </row>
    <row r="869">
      <c r="B869" s="8"/>
      <c r="C869" s="8"/>
      <c r="D869" s="8"/>
      <c r="E869" s="68"/>
      <c r="F869" s="129"/>
      <c r="G869" s="8"/>
      <c r="L869" s="157"/>
    </row>
    <row r="870">
      <c r="B870" s="8"/>
      <c r="C870" s="8"/>
      <c r="D870" s="8"/>
      <c r="E870" s="68"/>
      <c r="F870" s="129"/>
      <c r="G870" s="8"/>
      <c r="L870" s="157"/>
    </row>
    <row r="871">
      <c r="B871" s="8"/>
      <c r="C871" s="8"/>
      <c r="D871" s="8"/>
      <c r="E871" s="68"/>
      <c r="F871" s="129"/>
      <c r="G871" s="8"/>
      <c r="L871" s="157"/>
    </row>
    <row r="872">
      <c r="B872" s="8"/>
      <c r="C872" s="8"/>
      <c r="D872" s="8"/>
      <c r="E872" s="68"/>
      <c r="F872" s="129"/>
      <c r="G872" s="8"/>
      <c r="L872" s="157"/>
    </row>
    <row r="873">
      <c r="B873" s="8"/>
      <c r="C873" s="8"/>
      <c r="D873" s="8"/>
      <c r="E873" s="68"/>
      <c r="F873" s="129"/>
      <c r="G873" s="8"/>
      <c r="L873" s="157"/>
    </row>
    <row r="874">
      <c r="B874" s="8"/>
      <c r="C874" s="8"/>
      <c r="D874" s="8"/>
      <c r="E874" s="68"/>
      <c r="F874" s="129"/>
      <c r="G874" s="8"/>
      <c r="L874" s="157"/>
    </row>
    <row r="875">
      <c r="B875" s="8"/>
      <c r="C875" s="8"/>
      <c r="D875" s="8"/>
      <c r="E875" s="68"/>
      <c r="F875" s="129"/>
      <c r="G875" s="8"/>
      <c r="L875" s="157"/>
    </row>
    <row r="876">
      <c r="B876" s="8"/>
      <c r="C876" s="8"/>
      <c r="D876" s="8"/>
      <c r="E876" s="68"/>
      <c r="F876" s="129"/>
      <c r="G876" s="8"/>
      <c r="L876" s="157"/>
    </row>
    <row r="877">
      <c r="B877" s="8"/>
      <c r="C877" s="8"/>
      <c r="D877" s="8"/>
      <c r="E877" s="68"/>
      <c r="F877" s="129"/>
      <c r="G877" s="8"/>
      <c r="L877" s="157"/>
    </row>
    <row r="878">
      <c r="B878" s="8"/>
      <c r="C878" s="8"/>
      <c r="D878" s="8"/>
      <c r="E878" s="68"/>
      <c r="F878" s="129"/>
      <c r="G878" s="8"/>
      <c r="L878" s="157"/>
    </row>
    <row r="879">
      <c r="B879" s="8"/>
      <c r="C879" s="8"/>
      <c r="D879" s="8"/>
      <c r="E879" s="68"/>
      <c r="F879" s="129"/>
      <c r="G879" s="8"/>
      <c r="L879" s="157"/>
    </row>
    <row r="880">
      <c r="B880" s="8"/>
      <c r="C880" s="8"/>
      <c r="D880" s="8"/>
      <c r="E880" s="68"/>
      <c r="F880" s="129"/>
      <c r="G880" s="8"/>
      <c r="L880" s="157"/>
    </row>
    <row r="881">
      <c r="B881" s="8"/>
      <c r="C881" s="8"/>
      <c r="D881" s="8"/>
      <c r="E881" s="68"/>
      <c r="F881" s="129"/>
      <c r="G881" s="8"/>
      <c r="L881" s="157"/>
    </row>
    <row r="882">
      <c r="B882" s="8"/>
      <c r="C882" s="8"/>
      <c r="D882" s="8"/>
      <c r="E882" s="68"/>
      <c r="F882" s="129"/>
      <c r="G882" s="8"/>
      <c r="L882" s="157"/>
    </row>
    <row r="883">
      <c r="B883" s="8"/>
      <c r="C883" s="8"/>
      <c r="D883" s="8"/>
      <c r="E883" s="68"/>
      <c r="F883" s="129"/>
      <c r="G883" s="8"/>
      <c r="L883" s="157"/>
    </row>
    <row r="884">
      <c r="B884" s="8"/>
      <c r="C884" s="8"/>
      <c r="D884" s="8"/>
      <c r="E884" s="68"/>
      <c r="F884" s="129"/>
      <c r="G884" s="8"/>
      <c r="L884" s="157"/>
    </row>
    <row r="885">
      <c r="B885" s="8"/>
      <c r="C885" s="8"/>
      <c r="D885" s="8"/>
      <c r="E885" s="68"/>
      <c r="F885" s="129"/>
      <c r="G885" s="8"/>
      <c r="L885" s="157"/>
    </row>
    <row r="886">
      <c r="B886" s="8"/>
      <c r="C886" s="8"/>
      <c r="D886" s="8"/>
      <c r="E886" s="68"/>
      <c r="F886" s="129"/>
      <c r="G886" s="8"/>
      <c r="L886" s="157"/>
    </row>
    <row r="887">
      <c r="B887" s="8"/>
      <c r="C887" s="8"/>
      <c r="D887" s="8"/>
      <c r="E887" s="68"/>
      <c r="F887" s="129"/>
      <c r="G887" s="8"/>
      <c r="L887" s="157"/>
    </row>
    <row r="888">
      <c r="B888" s="8"/>
      <c r="C888" s="8"/>
      <c r="D888" s="8"/>
      <c r="E888" s="68"/>
      <c r="F888" s="129"/>
      <c r="G888" s="8"/>
      <c r="L888" s="157"/>
    </row>
    <row r="889">
      <c r="B889" s="8"/>
      <c r="C889" s="8"/>
      <c r="D889" s="8"/>
      <c r="E889" s="68"/>
      <c r="F889" s="129"/>
      <c r="G889" s="8"/>
      <c r="L889" s="157"/>
    </row>
    <row r="890">
      <c r="B890" s="8"/>
      <c r="C890" s="8"/>
      <c r="D890" s="8"/>
      <c r="E890" s="68"/>
      <c r="F890" s="129"/>
      <c r="G890" s="8"/>
      <c r="L890" s="157"/>
    </row>
    <row r="891">
      <c r="B891" s="8"/>
      <c r="C891" s="8"/>
      <c r="D891" s="8"/>
      <c r="E891" s="68"/>
      <c r="F891" s="129"/>
      <c r="G891" s="8"/>
      <c r="L891" s="157"/>
    </row>
    <row r="892">
      <c r="B892" s="8"/>
      <c r="C892" s="8"/>
      <c r="D892" s="8"/>
      <c r="E892" s="68"/>
      <c r="F892" s="129"/>
      <c r="G892" s="8"/>
      <c r="L892" s="157"/>
    </row>
    <row r="893">
      <c r="B893" s="8"/>
      <c r="C893" s="8"/>
      <c r="D893" s="8"/>
      <c r="E893" s="68"/>
      <c r="F893" s="129"/>
      <c r="G893" s="8"/>
      <c r="L893" s="157"/>
    </row>
    <row r="894">
      <c r="B894" s="8"/>
      <c r="C894" s="8"/>
      <c r="D894" s="8"/>
      <c r="E894" s="68"/>
      <c r="F894" s="129"/>
      <c r="G894" s="8"/>
      <c r="L894" s="157"/>
    </row>
    <row r="895">
      <c r="B895" s="8"/>
      <c r="C895" s="8"/>
      <c r="D895" s="8"/>
      <c r="E895" s="68"/>
      <c r="F895" s="129"/>
      <c r="G895" s="8"/>
      <c r="L895" s="157"/>
    </row>
    <row r="896">
      <c r="B896" s="8"/>
      <c r="C896" s="8"/>
      <c r="D896" s="8"/>
      <c r="E896" s="68"/>
      <c r="F896" s="129"/>
      <c r="G896" s="8"/>
      <c r="L896" s="157"/>
    </row>
    <row r="897">
      <c r="B897" s="8"/>
      <c r="C897" s="8"/>
      <c r="D897" s="8"/>
      <c r="E897" s="68"/>
      <c r="F897" s="129"/>
      <c r="G897" s="8"/>
      <c r="L897" s="157"/>
    </row>
    <row r="898">
      <c r="B898" s="8"/>
      <c r="C898" s="8"/>
      <c r="D898" s="8"/>
      <c r="E898" s="68"/>
      <c r="F898" s="129"/>
      <c r="G898" s="8"/>
      <c r="L898" s="157"/>
    </row>
    <row r="899">
      <c r="B899" s="8"/>
      <c r="C899" s="8"/>
      <c r="D899" s="8"/>
      <c r="E899" s="68"/>
      <c r="F899" s="129"/>
      <c r="G899" s="8"/>
      <c r="L899" s="157"/>
    </row>
    <row r="900">
      <c r="B900" s="8"/>
      <c r="C900" s="8"/>
      <c r="D900" s="8"/>
      <c r="E900" s="68"/>
      <c r="F900" s="129"/>
      <c r="G900" s="8"/>
      <c r="L900" s="157"/>
    </row>
    <row r="901">
      <c r="B901" s="8"/>
      <c r="C901" s="8"/>
      <c r="D901" s="8"/>
      <c r="E901" s="68"/>
      <c r="F901" s="129"/>
      <c r="G901" s="8"/>
      <c r="L901" s="157"/>
    </row>
    <row r="902">
      <c r="B902" s="8"/>
      <c r="C902" s="8"/>
      <c r="D902" s="8"/>
      <c r="E902" s="68"/>
      <c r="F902" s="129"/>
      <c r="G902" s="8"/>
      <c r="L902" s="157"/>
    </row>
    <row r="903">
      <c r="B903" s="8"/>
      <c r="C903" s="8"/>
      <c r="D903" s="8"/>
      <c r="E903" s="68"/>
      <c r="F903" s="129"/>
      <c r="G903" s="8"/>
      <c r="L903" s="157"/>
    </row>
    <row r="904">
      <c r="B904" s="8"/>
      <c r="C904" s="8"/>
      <c r="D904" s="8"/>
      <c r="E904" s="68"/>
      <c r="F904" s="129"/>
      <c r="G904" s="8"/>
      <c r="L904" s="157"/>
    </row>
    <row r="905">
      <c r="B905" s="8"/>
      <c r="C905" s="8"/>
      <c r="D905" s="8"/>
      <c r="E905" s="68"/>
      <c r="F905" s="129"/>
      <c r="G905" s="8"/>
      <c r="L905" s="157"/>
    </row>
    <row r="906">
      <c r="B906" s="8"/>
      <c r="C906" s="8"/>
      <c r="D906" s="8"/>
      <c r="E906" s="68"/>
      <c r="F906" s="129"/>
      <c r="G906" s="8"/>
      <c r="L906" s="157"/>
    </row>
    <row r="907">
      <c r="B907" s="8"/>
      <c r="C907" s="8"/>
      <c r="D907" s="8"/>
      <c r="E907" s="68"/>
      <c r="F907" s="129"/>
      <c r="G907" s="8"/>
      <c r="L907" s="157"/>
    </row>
    <row r="908">
      <c r="B908" s="8"/>
      <c r="C908" s="8"/>
      <c r="D908" s="8"/>
      <c r="E908" s="68"/>
      <c r="F908" s="129"/>
      <c r="G908" s="8"/>
      <c r="L908" s="157"/>
    </row>
    <row r="909">
      <c r="B909" s="8"/>
      <c r="C909" s="8"/>
      <c r="D909" s="8"/>
      <c r="E909" s="68"/>
      <c r="F909" s="129"/>
      <c r="G909" s="8"/>
      <c r="L909" s="157"/>
    </row>
    <row r="910">
      <c r="B910" s="8"/>
      <c r="C910" s="8"/>
      <c r="D910" s="8"/>
      <c r="E910" s="68"/>
      <c r="F910" s="129"/>
      <c r="G910" s="8"/>
      <c r="L910" s="157"/>
    </row>
    <row r="911">
      <c r="B911" s="8"/>
      <c r="C911" s="8"/>
      <c r="D911" s="8"/>
      <c r="E911" s="68"/>
      <c r="F911" s="129"/>
      <c r="G911" s="8"/>
      <c r="L911" s="157"/>
    </row>
    <row r="912">
      <c r="B912" s="8"/>
      <c r="C912" s="8"/>
      <c r="D912" s="8"/>
      <c r="E912" s="68"/>
      <c r="F912" s="129"/>
      <c r="G912" s="8"/>
      <c r="L912" s="157"/>
    </row>
    <row r="913">
      <c r="B913" s="8"/>
      <c r="C913" s="8"/>
      <c r="D913" s="8"/>
      <c r="E913" s="68"/>
      <c r="F913" s="129"/>
      <c r="G913" s="8"/>
      <c r="L913" s="157"/>
    </row>
    <row r="914">
      <c r="B914" s="8"/>
      <c r="C914" s="8"/>
      <c r="D914" s="8"/>
      <c r="E914" s="68"/>
      <c r="F914" s="129"/>
      <c r="G914" s="8"/>
      <c r="L914" s="157"/>
    </row>
    <row r="915">
      <c r="B915" s="8"/>
      <c r="C915" s="8"/>
      <c r="D915" s="8"/>
      <c r="E915" s="68"/>
      <c r="F915" s="129"/>
      <c r="G915" s="8"/>
      <c r="L915" s="157"/>
    </row>
    <row r="916">
      <c r="B916" s="8"/>
      <c r="C916" s="8"/>
      <c r="D916" s="8"/>
      <c r="E916" s="68"/>
      <c r="F916" s="129"/>
      <c r="G916" s="8"/>
      <c r="L916" s="157"/>
    </row>
    <row r="917">
      <c r="B917" s="8"/>
      <c r="C917" s="8"/>
      <c r="D917" s="8"/>
      <c r="E917" s="68"/>
      <c r="F917" s="129"/>
      <c r="G917" s="8"/>
      <c r="L917" s="157"/>
    </row>
    <row r="918">
      <c r="B918" s="8"/>
      <c r="C918" s="8"/>
      <c r="D918" s="8"/>
      <c r="E918" s="68"/>
      <c r="F918" s="129"/>
      <c r="G918" s="8"/>
      <c r="L918" s="157"/>
    </row>
    <row r="919">
      <c r="B919" s="8"/>
      <c r="C919" s="8"/>
      <c r="D919" s="8"/>
      <c r="E919" s="68"/>
      <c r="F919" s="129"/>
      <c r="G919" s="8"/>
      <c r="L919" s="157"/>
    </row>
    <row r="920">
      <c r="B920" s="8"/>
      <c r="C920" s="8"/>
      <c r="D920" s="8"/>
      <c r="E920" s="68"/>
      <c r="F920" s="129"/>
      <c r="G920" s="8"/>
      <c r="L920" s="157"/>
    </row>
    <row r="921">
      <c r="B921" s="8"/>
      <c r="C921" s="8"/>
      <c r="D921" s="8"/>
      <c r="E921" s="68"/>
      <c r="F921" s="129"/>
      <c r="G921" s="8"/>
      <c r="L921" s="157"/>
    </row>
    <row r="922">
      <c r="B922" s="8"/>
      <c r="C922" s="8"/>
      <c r="D922" s="8"/>
      <c r="E922" s="68"/>
      <c r="F922" s="129"/>
      <c r="G922" s="8"/>
      <c r="L922" s="157"/>
    </row>
    <row r="923">
      <c r="B923" s="8"/>
      <c r="C923" s="8"/>
      <c r="D923" s="8"/>
      <c r="E923" s="68"/>
      <c r="F923" s="129"/>
      <c r="G923" s="8"/>
      <c r="L923" s="157"/>
    </row>
    <row r="924">
      <c r="B924" s="8"/>
      <c r="C924" s="8"/>
      <c r="D924" s="8"/>
      <c r="E924" s="68"/>
      <c r="F924" s="129"/>
      <c r="G924" s="8"/>
      <c r="L924" s="157"/>
    </row>
    <row r="925">
      <c r="B925" s="8"/>
      <c r="C925" s="8"/>
      <c r="D925" s="8"/>
      <c r="E925" s="68"/>
      <c r="F925" s="129"/>
      <c r="G925" s="8"/>
      <c r="L925" s="157"/>
    </row>
    <row r="926">
      <c r="B926" s="8"/>
      <c r="C926" s="8"/>
      <c r="D926" s="8"/>
      <c r="E926" s="68"/>
      <c r="F926" s="129"/>
      <c r="G926" s="8"/>
      <c r="L926" s="157"/>
    </row>
    <row r="927">
      <c r="B927" s="8"/>
      <c r="C927" s="8"/>
      <c r="D927" s="8"/>
      <c r="E927" s="68"/>
      <c r="F927" s="129"/>
      <c r="G927" s="8"/>
      <c r="L927" s="157"/>
    </row>
    <row r="928">
      <c r="B928" s="8"/>
      <c r="C928" s="8"/>
      <c r="D928" s="8"/>
      <c r="E928" s="68"/>
      <c r="F928" s="129"/>
      <c r="G928" s="8"/>
      <c r="L928" s="157"/>
    </row>
    <row r="929">
      <c r="B929" s="8"/>
      <c r="C929" s="8"/>
      <c r="D929" s="8"/>
      <c r="E929" s="68"/>
      <c r="F929" s="129"/>
      <c r="G929" s="8"/>
      <c r="L929" s="157"/>
    </row>
    <row r="930">
      <c r="B930" s="8"/>
      <c r="C930" s="8"/>
      <c r="D930" s="8"/>
      <c r="E930" s="68"/>
      <c r="F930" s="129"/>
      <c r="G930" s="8"/>
      <c r="L930" s="157"/>
    </row>
    <row r="931">
      <c r="B931" s="8"/>
      <c r="C931" s="8"/>
      <c r="D931" s="8"/>
      <c r="E931" s="68"/>
      <c r="F931" s="129"/>
      <c r="G931" s="8"/>
      <c r="L931" s="157"/>
    </row>
    <row r="932">
      <c r="B932" s="8"/>
      <c r="C932" s="8"/>
      <c r="D932" s="8"/>
      <c r="E932" s="68"/>
      <c r="F932" s="129"/>
      <c r="G932" s="8"/>
      <c r="L932" s="157"/>
    </row>
    <row r="933">
      <c r="B933" s="8"/>
      <c r="C933" s="8"/>
      <c r="D933" s="8"/>
      <c r="E933" s="68"/>
      <c r="F933" s="129"/>
      <c r="G933" s="8"/>
      <c r="L933" s="157"/>
    </row>
    <row r="934">
      <c r="B934" s="8"/>
      <c r="C934" s="8"/>
      <c r="D934" s="8"/>
      <c r="E934" s="68"/>
      <c r="F934" s="129"/>
      <c r="G934" s="8"/>
      <c r="L934" s="157"/>
    </row>
    <row r="935">
      <c r="B935" s="8"/>
      <c r="C935" s="8"/>
      <c r="D935" s="8"/>
      <c r="E935" s="68"/>
      <c r="F935" s="129"/>
      <c r="G935" s="8"/>
      <c r="L935" s="157"/>
    </row>
    <row r="936">
      <c r="B936" s="8"/>
      <c r="C936" s="8"/>
      <c r="D936" s="8"/>
      <c r="E936" s="68"/>
      <c r="F936" s="129"/>
      <c r="G936" s="8"/>
      <c r="L936" s="157"/>
    </row>
    <row r="937">
      <c r="B937" s="8"/>
      <c r="C937" s="8"/>
      <c r="D937" s="8"/>
      <c r="E937" s="68"/>
      <c r="F937" s="129"/>
      <c r="G937" s="8"/>
      <c r="L937" s="157"/>
    </row>
    <row r="938">
      <c r="B938" s="8"/>
      <c r="C938" s="8"/>
      <c r="D938" s="8"/>
      <c r="E938" s="68"/>
      <c r="F938" s="129"/>
      <c r="G938" s="8"/>
      <c r="L938" s="157"/>
    </row>
    <row r="939">
      <c r="B939" s="8"/>
      <c r="C939" s="8"/>
      <c r="D939" s="8"/>
      <c r="E939" s="68"/>
      <c r="F939" s="129"/>
      <c r="G939" s="8"/>
      <c r="L939" s="157"/>
    </row>
    <row r="940">
      <c r="B940" s="8"/>
      <c r="C940" s="8"/>
      <c r="D940" s="8"/>
      <c r="E940" s="68"/>
      <c r="F940" s="129"/>
      <c r="G940" s="8"/>
      <c r="L940" s="157"/>
    </row>
    <row r="941">
      <c r="B941" s="8"/>
      <c r="C941" s="8"/>
      <c r="D941" s="8"/>
      <c r="E941" s="68"/>
      <c r="F941" s="129"/>
      <c r="G941" s="8"/>
      <c r="L941" s="157"/>
    </row>
    <row r="942">
      <c r="B942" s="8"/>
      <c r="C942" s="8"/>
      <c r="D942" s="8"/>
      <c r="E942" s="68"/>
      <c r="F942" s="129"/>
      <c r="G942" s="8"/>
      <c r="L942" s="157"/>
    </row>
    <row r="943">
      <c r="B943" s="8"/>
      <c r="C943" s="8"/>
      <c r="D943" s="8"/>
      <c r="E943" s="68"/>
      <c r="F943" s="129"/>
      <c r="G943" s="8"/>
      <c r="L943" s="157"/>
    </row>
    <row r="944">
      <c r="B944" s="8"/>
      <c r="C944" s="8"/>
      <c r="D944" s="8"/>
      <c r="E944" s="68"/>
      <c r="F944" s="129"/>
      <c r="G944" s="8"/>
      <c r="L944" s="157"/>
    </row>
    <row r="945">
      <c r="B945" s="8"/>
      <c r="C945" s="8"/>
      <c r="D945" s="8"/>
      <c r="E945" s="68"/>
      <c r="F945" s="129"/>
      <c r="G945" s="8"/>
      <c r="L945" s="157"/>
    </row>
    <row r="946">
      <c r="B946" s="8"/>
      <c r="C946" s="8"/>
      <c r="D946" s="8"/>
      <c r="E946" s="68"/>
      <c r="F946" s="129"/>
      <c r="G946" s="8"/>
      <c r="L946" s="157"/>
    </row>
    <row r="947">
      <c r="B947" s="8"/>
      <c r="C947" s="8"/>
      <c r="D947" s="8"/>
      <c r="E947" s="68"/>
      <c r="F947" s="129"/>
      <c r="G947" s="8"/>
      <c r="L947" s="157"/>
    </row>
    <row r="948">
      <c r="B948" s="8"/>
      <c r="C948" s="8"/>
      <c r="D948" s="8"/>
      <c r="E948" s="68"/>
      <c r="F948" s="129"/>
      <c r="G948" s="8"/>
      <c r="L948" s="157"/>
    </row>
    <row r="949">
      <c r="B949" s="8"/>
      <c r="C949" s="8"/>
      <c r="D949" s="8"/>
      <c r="E949" s="68"/>
      <c r="F949" s="129"/>
      <c r="G949" s="8"/>
      <c r="L949" s="157"/>
    </row>
    <row r="950">
      <c r="B950" s="8"/>
      <c r="C950" s="8"/>
      <c r="D950" s="8"/>
      <c r="E950" s="68"/>
      <c r="F950" s="129"/>
      <c r="G950" s="8"/>
      <c r="L950" s="157"/>
    </row>
    <row r="951">
      <c r="B951" s="8"/>
      <c r="C951" s="8"/>
      <c r="D951" s="8"/>
      <c r="E951" s="68"/>
      <c r="F951" s="129"/>
      <c r="G951" s="8"/>
      <c r="L951" s="157"/>
    </row>
    <row r="952">
      <c r="B952" s="8"/>
      <c r="C952" s="8"/>
      <c r="D952" s="8"/>
      <c r="E952" s="68"/>
      <c r="F952" s="129"/>
      <c r="G952" s="8"/>
      <c r="L952" s="157"/>
    </row>
    <row r="953">
      <c r="B953" s="8"/>
      <c r="C953" s="8"/>
      <c r="D953" s="8"/>
      <c r="E953" s="68"/>
      <c r="F953" s="129"/>
      <c r="G953" s="8"/>
      <c r="L953" s="157"/>
    </row>
    <row r="954">
      <c r="B954" s="8"/>
      <c r="C954" s="8"/>
      <c r="D954" s="8"/>
      <c r="E954" s="68"/>
      <c r="F954" s="129"/>
      <c r="G954" s="8"/>
      <c r="L954" s="157"/>
    </row>
    <row r="955">
      <c r="B955" s="8"/>
      <c r="C955" s="8"/>
      <c r="D955" s="8"/>
      <c r="E955" s="68"/>
      <c r="F955" s="129"/>
      <c r="G955" s="8"/>
      <c r="L955" s="157"/>
    </row>
    <row r="956">
      <c r="B956" s="8"/>
      <c r="C956" s="8"/>
      <c r="D956" s="8"/>
      <c r="E956" s="68"/>
      <c r="F956" s="129"/>
      <c r="G956" s="8"/>
      <c r="L956" s="157"/>
    </row>
    <row r="957">
      <c r="B957" s="8"/>
      <c r="C957" s="8"/>
      <c r="D957" s="8"/>
      <c r="E957" s="68"/>
      <c r="F957" s="129"/>
      <c r="G957" s="8"/>
      <c r="L957" s="157"/>
    </row>
    <row r="958">
      <c r="B958" s="8"/>
      <c r="C958" s="8"/>
      <c r="D958" s="8"/>
      <c r="E958" s="68"/>
      <c r="F958" s="129"/>
      <c r="G958" s="8"/>
      <c r="L958" s="157"/>
    </row>
    <row r="959">
      <c r="B959" s="8"/>
      <c r="C959" s="8"/>
      <c r="D959" s="8"/>
      <c r="E959" s="68"/>
      <c r="F959" s="129"/>
      <c r="G959" s="8"/>
      <c r="L959" s="157"/>
    </row>
    <row r="960">
      <c r="B960" s="8"/>
      <c r="C960" s="8"/>
      <c r="D960" s="8"/>
      <c r="E960" s="68"/>
      <c r="F960" s="129"/>
      <c r="G960" s="8"/>
      <c r="L960" s="157"/>
    </row>
    <row r="961">
      <c r="B961" s="8"/>
      <c r="C961" s="8"/>
      <c r="D961" s="8"/>
      <c r="E961" s="68"/>
      <c r="F961" s="129"/>
      <c r="G961" s="8"/>
      <c r="L961" s="157"/>
    </row>
    <row r="962">
      <c r="B962" s="8"/>
      <c r="C962" s="8"/>
      <c r="D962" s="8"/>
      <c r="E962" s="68"/>
      <c r="F962" s="129"/>
      <c r="G962" s="8"/>
      <c r="L962" s="157"/>
    </row>
    <row r="963">
      <c r="B963" s="8"/>
      <c r="C963" s="8"/>
      <c r="D963" s="8"/>
      <c r="E963" s="68"/>
      <c r="F963" s="129"/>
      <c r="G963" s="8"/>
      <c r="L963" s="157"/>
    </row>
    <row r="964">
      <c r="B964" s="8"/>
      <c r="C964" s="8"/>
      <c r="D964" s="8"/>
      <c r="E964" s="68"/>
      <c r="F964" s="129"/>
      <c r="G964" s="8"/>
      <c r="L964" s="157"/>
    </row>
    <row r="965">
      <c r="B965" s="8"/>
      <c r="C965" s="8"/>
      <c r="D965" s="8"/>
      <c r="E965" s="68"/>
      <c r="F965" s="129"/>
      <c r="G965" s="8"/>
      <c r="L965" s="157"/>
    </row>
    <row r="966">
      <c r="B966" s="8"/>
      <c r="C966" s="8"/>
      <c r="D966" s="8"/>
      <c r="E966" s="68"/>
      <c r="F966" s="129"/>
      <c r="G966" s="8"/>
      <c r="L966" s="157"/>
    </row>
    <row r="967">
      <c r="B967" s="8"/>
      <c r="C967" s="8"/>
      <c r="D967" s="8"/>
      <c r="E967" s="68"/>
      <c r="F967" s="129"/>
      <c r="G967" s="8"/>
      <c r="L967" s="157"/>
    </row>
    <row r="968">
      <c r="B968" s="8"/>
      <c r="C968" s="8"/>
      <c r="D968" s="8"/>
      <c r="E968" s="68"/>
      <c r="F968" s="129"/>
      <c r="G968" s="8"/>
      <c r="L968" s="157"/>
    </row>
    <row r="969">
      <c r="B969" s="8"/>
      <c r="C969" s="8"/>
      <c r="D969" s="8"/>
      <c r="E969" s="68"/>
      <c r="F969" s="129"/>
      <c r="G969" s="8"/>
      <c r="L969" s="157"/>
    </row>
    <row r="970">
      <c r="B970" s="8"/>
      <c r="C970" s="8"/>
      <c r="D970" s="8"/>
      <c r="E970" s="68"/>
      <c r="F970" s="129"/>
      <c r="G970" s="8"/>
      <c r="L970" s="157"/>
    </row>
    <row r="971">
      <c r="B971" s="8"/>
      <c r="C971" s="8"/>
      <c r="D971" s="8"/>
      <c r="E971" s="68"/>
      <c r="F971" s="129"/>
      <c r="G971" s="8"/>
      <c r="L971" s="157"/>
    </row>
    <row r="972">
      <c r="B972" s="8"/>
      <c r="C972" s="8"/>
      <c r="D972" s="8"/>
      <c r="E972" s="68"/>
      <c r="F972" s="129"/>
      <c r="G972" s="8"/>
      <c r="L972" s="157"/>
    </row>
    <row r="973">
      <c r="B973" s="8"/>
      <c r="C973" s="8"/>
      <c r="D973" s="8"/>
      <c r="E973" s="68"/>
      <c r="F973" s="129"/>
      <c r="G973" s="8"/>
      <c r="L973" s="157"/>
    </row>
    <row r="974">
      <c r="B974" s="8"/>
      <c r="C974" s="8"/>
      <c r="D974" s="8"/>
      <c r="E974" s="68"/>
      <c r="F974" s="129"/>
      <c r="G974" s="8"/>
      <c r="L974" s="157"/>
    </row>
    <row r="975">
      <c r="B975" s="8"/>
      <c r="C975" s="8"/>
      <c r="D975" s="8"/>
      <c r="E975" s="68"/>
      <c r="F975" s="129"/>
      <c r="G975" s="8"/>
      <c r="L975" s="157"/>
    </row>
    <row r="976">
      <c r="B976" s="8"/>
      <c r="C976" s="8"/>
      <c r="D976" s="8"/>
      <c r="E976" s="68"/>
      <c r="F976" s="129"/>
      <c r="G976" s="8"/>
      <c r="L976" s="157"/>
    </row>
    <row r="977">
      <c r="B977" s="8"/>
      <c r="C977" s="8"/>
      <c r="D977" s="8"/>
      <c r="E977" s="68"/>
      <c r="F977" s="129"/>
      <c r="G977" s="8"/>
      <c r="L977" s="157"/>
    </row>
    <row r="978">
      <c r="B978" s="8"/>
      <c r="C978" s="8"/>
      <c r="D978" s="8"/>
      <c r="E978" s="68"/>
      <c r="F978" s="129"/>
      <c r="G978" s="8"/>
      <c r="L978" s="157"/>
    </row>
    <row r="979">
      <c r="B979" s="8"/>
      <c r="C979" s="8"/>
      <c r="D979" s="8"/>
      <c r="E979" s="68"/>
      <c r="F979" s="129"/>
      <c r="G979" s="8"/>
      <c r="L979" s="157"/>
    </row>
    <row r="980">
      <c r="B980" s="8"/>
      <c r="C980" s="8"/>
      <c r="D980" s="8"/>
      <c r="E980" s="68"/>
      <c r="F980" s="129"/>
      <c r="G980" s="8"/>
      <c r="L980" s="157"/>
    </row>
    <row r="981">
      <c r="B981" s="8"/>
      <c r="C981" s="8"/>
      <c r="D981" s="8"/>
      <c r="E981" s="68"/>
      <c r="F981" s="129"/>
      <c r="G981" s="8"/>
      <c r="L981" s="157"/>
    </row>
    <row r="982">
      <c r="B982" s="8"/>
      <c r="C982" s="8"/>
      <c r="D982" s="8"/>
      <c r="E982" s="68"/>
      <c r="F982" s="129"/>
      <c r="G982" s="8"/>
      <c r="L982" s="157"/>
    </row>
    <row r="983">
      <c r="B983" s="8"/>
      <c r="C983" s="8"/>
      <c r="D983" s="8"/>
      <c r="E983" s="68"/>
      <c r="F983" s="129"/>
      <c r="G983" s="8"/>
      <c r="L983" s="157"/>
    </row>
    <row r="984">
      <c r="B984" s="8"/>
      <c r="C984" s="8"/>
      <c r="D984" s="8"/>
      <c r="E984" s="68"/>
      <c r="F984" s="129"/>
      <c r="G984" s="8"/>
      <c r="L984" s="157"/>
    </row>
    <row r="985">
      <c r="B985" s="8"/>
      <c r="C985" s="8"/>
      <c r="D985" s="8"/>
      <c r="E985" s="68"/>
      <c r="F985" s="129"/>
      <c r="G985" s="8"/>
      <c r="L985" s="157"/>
    </row>
    <row r="986">
      <c r="B986" s="8"/>
      <c r="C986" s="8"/>
      <c r="D986" s="8"/>
      <c r="E986" s="68"/>
      <c r="F986" s="129"/>
      <c r="G986" s="8"/>
      <c r="L986" s="157"/>
    </row>
    <row r="987">
      <c r="B987" s="8"/>
      <c r="C987" s="8"/>
      <c r="D987" s="8"/>
      <c r="E987" s="68"/>
      <c r="F987" s="129"/>
      <c r="G987" s="8"/>
      <c r="L987" s="157"/>
    </row>
    <row r="988">
      <c r="B988" s="8"/>
      <c r="C988" s="8"/>
      <c r="D988" s="8"/>
      <c r="E988" s="68"/>
      <c r="F988" s="129"/>
      <c r="G988" s="8"/>
      <c r="L988" s="157"/>
    </row>
    <row r="989">
      <c r="B989" s="8"/>
      <c r="C989" s="8"/>
      <c r="D989" s="8"/>
      <c r="E989" s="68"/>
      <c r="F989" s="129"/>
      <c r="G989" s="8"/>
      <c r="L989" s="157"/>
    </row>
    <row r="990">
      <c r="B990" s="8"/>
      <c r="C990" s="8"/>
      <c r="D990" s="8"/>
      <c r="E990" s="68"/>
      <c r="F990" s="129"/>
      <c r="G990" s="8"/>
      <c r="L990" s="157"/>
    </row>
    <row r="991">
      <c r="B991" s="8"/>
      <c r="C991" s="8"/>
      <c r="D991" s="8"/>
      <c r="E991" s="68"/>
      <c r="F991" s="129"/>
      <c r="G991" s="8"/>
      <c r="L991" s="157"/>
    </row>
    <row r="992">
      <c r="B992" s="8"/>
      <c r="C992" s="8"/>
      <c r="D992" s="8"/>
      <c r="E992" s="68"/>
      <c r="F992" s="129"/>
      <c r="G992" s="8"/>
      <c r="L992" s="157"/>
    </row>
    <row r="993">
      <c r="B993" s="8"/>
      <c r="C993" s="8"/>
      <c r="D993" s="8"/>
      <c r="E993" s="68"/>
      <c r="F993" s="129"/>
      <c r="G993" s="8"/>
      <c r="L993" s="157"/>
    </row>
    <row r="994">
      <c r="B994" s="8"/>
      <c r="C994" s="8"/>
      <c r="D994" s="8"/>
      <c r="E994" s="68"/>
      <c r="F994" s="129"/>
      <c r="G994" s="8"/>
      <c r="L994" s="157"/>
    </row>
    <row r="995">
      <c r="B995" s="8"/>
      <c r="C995" s="8"/>
      <c r="D995" s="8"/>
      <c r="E995" s="68"/>
      <c r="F995" s="129"/>
      <c r="G995" s="8"/>
      <c r="L995" s="157"/>
    </row>
    <row r="996">
      <c r="B996" s="8"/>
      <c r="C996" s="8"/>
      <c r="D996" s="8"/>
      <c r="E996" s="68"/>
      <c r="F996" s="129"/>
      <c r="G996" s="8"/>
      <c r="L996" s="157"/>
    </row>
    <row r="997">
      <c r="B997" s="8"/>
      <c r="C997" s="8"/>
      <c r="D997" s="8"/>
      <c r="E997" s="68"/>
      <c r="F997" s="129"/>
      <c r="G997" s="8"/>
      <c r="L997" s="157"/>
    </row>
    <row r="998">
      <c r="B998" s="8"/>
      <c r="C998" s="8"/>
      <c r="D998" s="8"/>
      <c r="E998" s="68"/>
      <c r="F998" s="129"/>
      <c r="G998" s="8"/>
      <c r="L998" s="157"/>
    </row>
    <row r="999">
      <c r="B999" s="8"/>
      <c r="C999" s="8"/>
      <c r="D999" s="8"/>
      <c r="E999" s="68"/>
      <c r="F999" s="129"/>
      <c r="G999" s="8"/>
      <c r="L999" s="157"/>
    </row>
    <row r="1000">
      <c r="B1000" s="8"/>
      <c r="C1000" s="8"/>
      <c r="D1000" s="8"/>
      <c r="E1000" s="68"/>
      <c r="F1000" s="129"/>
      <c r="G1000" s="8"/>
      <c r="L1000" s="157"/>
    </row>
    <row r="1001">
      <c r="B1001" s="8"/>
      <c r="C1001" s="8"/>
      <c r="D1001" s="8"/>
      <c r="E1001" s="68"/>
      <c r="F1001" s="129"/>
      <c r="G1001" s="8"/>
      <c r="L1001" s="157"/>
    </row>
    <row r="1002">
      <c r="B1002" s="8"/>
      <c r="C1002" s="8"/>
      <c r="D1002" s="8"/>
      <c r="E1002" s="68"/>
      <c r="F1002" s="129"/>
      <c r="G1002" s="8"/>
      <c r="L1002" s="157"/>
    </row>
    <row r="1003">
      <c r="B1003" s="8"/>
      <c r="C1003" s="8"/>
      <c r="D1003" s="8"/>
      <c r="E1003" s="68"/>
      <c r="F1003" s="129"/>
      <c r="G1003" s="8"/>
      <c r="L1003" s="157"/>
    </row>
    <row r="1004">
      <c r="B1004" s="8"/>
      <c r="C1004" s="8"/>
      <c r="D1004" s="8"/>
      <c r="E1004" s="68"/>
      <c r="F1004" s="129"/>
      <c r="G1004" s="8"/>
      <c r="L1004" s="157"/>
    </row>
    <row r="1005">
      <c r="B1005" s="8"/>
      <c r="C1005" s="8"/>
      <c r="D1005" s="8"/>
      <c r="E1005" s="68"/>
      <c r="F1005" s="129"/>
      <c r="G1005" s="8"/>
      <c r="L1005" s="157"/>
    </row>
    <row r="1006">
      <c r="B1006" s="8"/>
      <c r="C1006" s="8"/>
      <c r="D1006" s="8"/>
      <c r="E1006" s="68"/>
      <c r="F1006" s="129"/>
      <c r="G1006" s="8"/>
      <c r="L1006" s="157"/>
    </row>
    <row r="1007">
      <c r="B1007" s="8"/>
      <c r="C1007" s="8"/>
      <c r="D1007" s="8"/>
      <c r="E1007" s="68"/>
      <c r="F1007" s="129"/>
      <c r="G1007" s="8"/>
      <c r="L1007" s="157"/>
    </row>
    <row r="1008">
      <c r="B1008" s="8"/>
      <c r="C1008" s="8"/>
      <c r="D1008" s="8"/>
      <c r="E1008" s="68"/>
      <c r="F1008" s="129"/>
      <c r="G1008" s="8"/>
      <c r="L1008" s="157"/>
    </row>
    <row r="1009">
      <c r="B1009" s="8"/>
      <c r="C1009" s="8"/>
      <c r="D1009" s="8"/>
      <c r="E1009" s="68"/>
      <c r="F1009" s="129"/>
      <c r="G1009" s="8"/>
      <c r="L1009" s="157"/>
    </row>
    <row r="1010">
      <c r="B1010" s="8"/>
      <c r="C1010" s="8"/>
      <c r="D1010" s="8"/>
      <c r="E1010" s="68"/>
      <c r="F1010" s="129"/>
      <c r="G1010" s="8"/>
      <c r="L1010" s="157"/>
    </row>
    <row r="1011">
      <c r="B1011" s="8"/>
      <c r="C1011" s="8"/>
      <c r="D1011" s="8"/>
      <c r="E1011" s="68"/>
      <c r="F1011" s="129"/>
      <c r="G1011" s="8"/>
      <c r="L1011" s="157"/>
    </row>
    <row r="1012">
      <c r="B1012" s="8"/>
      <c r="C1012" s="8"/>
      <c r="D1012" s="8"/>
      <c r="E1012" s="68"/>
      <c r="F1012" s="129"/>
      <c r="G1012" s="8"/>
      <c r="L1012" s="157"/>
    </row>
    <row r="1013">
      <c r="B1013" s="8"/>
      <c r="C1013" s="8"/>
      <c r="D1013" s="8"/>
      <c r="E1013" s="68"/>
      <c r="F1013" s="129"/>
      <c r="G1013" s="8"/>
      <c r="L1013" s="157"/>
    </row>
    <row r="1014">
      <c r="B1014" s="8"/>
      <c r="C1014" s="8"/>
      <c r="D1014" s="8"/>
      <c r="E1014" s="68"/>
      <c r="F1014" s="129"/>
      <c r="G1014" s="8"/>
      <c r="L1014" s="157"/>
    </row>
    <row r="1015">
      <c r="B1015" s="8"/>
      <c r="C1015" s="8"/>
      <c r="D1015" s="8"/>
      <c r="E1015" s="68"/>
      <c r="F1015" s="129"/>
      <c r="G1015" s="8"/>
      <c r="L1015" s="157"/>
    </row>
    <row r="1016">
      <c r="B1016" s="8"/>
      <c r="C1016" s="8"/>
      <c r="D1016" s="8"/>
      <c r="E1016" s="68"/>
      <c r="F1016" s="129"/>
      <c r="G1016" s="8"/>
      <c r="L1016" s="157"/>
    </row>
    <row r="1017">
      <c r="B1017" s="8"/>
      <c r="C1017" s="8"/>
      <c r="D1017" s="8"/>
      <c r="E1017" s="68"/>
      <c r="F1017" s="129"/>
      <c r="G1017" s="8"/>
      <c r="L1017" s="157"/>
    </row>
    <row r="1018">
      <c r="B1018" s="8"/>
      <c r="C1018" s="8"/>
      <c r="D1018" s="8"/>
      <c r="E1018" s="68"/>
      <c r="F1018" s="129"/>
      <c r="G1018" s="8"/>
      <c r="L1018" s="157"/>
    </row>
  </sheetData>
  <mergeCells count="217">
    <mergeCell ref="G7:H7"/>
    <mergeCell ref="G8:H8"/>
    <mergeCell ref="B2:K3"/>
    <mergeCell ref="B5:E5"/>
    <mergeCell ref="G5:H5"/>
    <mergeCell ref="C6:D6"/>
    <mergeCell ref="G6:H6"/>
    <mergeCell ref="C7:D7"/>
    <mergeCell ref="C8:D8"/>
    <mergeCell ref="C12:D12"/>
    <mergeCell ref="C13:D13"/>
    <mergeCell ref="C14:D14"/>
    <mergeCell ref="C15:D15"/>
    <mergeCell ref="C16:D16"/>
    <mergeCell ref="B17:B18"/>
    <mergeCell ref="C17:D17"/>
    <mergeCell ref="C18:D18"/>
    <mergeCell ref="C9:D9"/>
    <mergeCell ref="G9:H9"/>
    <mergeCell ref="C10:D10"/>
    <mergeCell ref="G10:H10"/>
    <mergeCell ref="C11:D11"/>
    <mergeCell ref="G11:H11"/>
    <mergeCell ref="G12:H12"/>
    <mergeCell ref="G13:H13"/>
    <mergeCell ref="G14:H14"/>
    <mergeCell ref="G15:H15"/>
    <mergeCell ref="G16:H16"/>
    <mergeCell ref="G17:H17"/>
    <mergeCell ref="G18:H18"/>
    <mergeCell ref="B20:K21"/>
    <mergeCell ref="G29:H29"/>
    <mergeCell ref="G30:H30"/>
    <mergeCell ref="B24:K25"/>
    <mergeCell ref="B27:E27"/>
    <mergeCell ref="G27:H27"/>
    <mergeCell ref="C28:D28"/>
    <mergeCell ref="G28:H28"/>
    <mergeCell ref="C29:D29"/>
    <mergeCell ref="C30:D30"/>
    <mergeCell ref="C55:D55"/>
    <mergeCell ref="C56:D56"/>
    <mergeCell ref="C57:D57"/>
    <mergeCell ref="C58:D58"/>
    <mergeCell ref="C59:D59"/>
    <mergeCell ref="B60:B61"/>
    <mergeCell ref="C60:D60"/>
    <mergeCell ref="C61:D61"/>
    <mergeCell ref="G56:H56"/>
    <mergeCell ref="G57:H57"/>
    <mergeCell ref="G58:H58"/>
    <mergeCell ref="G59:H59"/>
    <mergeCell ref="G60:H60"/>
    <mergeCell ref="G61:H61"/>
    <mergeCell ref="B62:K63"/>
    <mergeCell ref="G70:H70"/>
    <mergeCell ref="G71:H71"/>
    <mergeCell ref="B65:K66"/>
    <mergeCell ref="B68:E68"/>
    <mergeCell ref="G68:H68"/>
    <mergeCell ref="C69:D69"/>
    <mergeCell ref="G69:H69"/>
    <mergeCell ref="C70:D70"/>
    <mergeCell ref="C71:D71"/>
    <mergeCell ref="C34:D34"/>
    <mergeCell ref="C35:D35"/>
    <mergeCell ref="C36:D36"/>
    <mergeCell ref="C37:D37"/>
    <mergeCell ref="C38:D38"/>
    <mergeCell ref="B39:B40"/>
    <mergeCell ref="C39:D39"/>
    <mergeCell ref="C40:D40"/>
    <mergeCell ref="C31:D31"/>
    <mergeCell ref="G31:H31"/>
    <mergeCell ref="C32:D32"/>
    <mergeCell ref="G32:H32"/>
    <mergeCell ref="C33:D33"/>
    <mergeCell ref="G33:H33"/>
    <mergeCell ref="G34:H34"/>
    <mergeCell ref="G35:H35"/>
    <mergeCell ref="G36:H36"/>
    <mergeCell ref="G37:H37"/>
    <mergeCell ref="G38:H38"/>
    <mergeCell ref="G39:H39"/>
    <mergeCell ref="G40:H40"/>
    <mergeCell ref="B42:K43"/>
    <mergeCell ref="G50:H50"/>
    <mergeCell ref="G51:H51"/>
    <mergeCell ref="B45:K46"/>
    <mergeCell ref="B48:E48"/>
    <mergeCell ref="G48:H48"/>
    <mergeCell ref="C49:D49"/>
    <mergeCell ref="G49:H49"/>
    <mergeCell ref="C50:D50"/>
    <mergeCell ref="C51:D51"/>
    <mergeCell ref="C52:D52"/>
    <mergeCell ref="G52:H52"/>
    <mergeCell ref="C53:D53"/>
    <mergeCell ref="G53:H53"/>
    <mergeCell ref="C54:D54"/>
    <mergeCell ref="G54:H54"/>
    <mergeCell ref="G55:H55"/>
    <mergeCell ref="G76:H76"/>
    <mergeCell ref="G77:H77"/>
    <mergeCell ref="C91:D91"/>
    <mergeCell ref="C92:D92"/>
    <mergeCell ref="G92:H92"/>
    <mergeCell ref="C93:D93"/>
    <mergeCell ref="G93:H93"/>
    <mergeCell ref="C94:D94"/>
    <mergeCell ref="C95:D95"/>
    <mergeCell ref="C96:D96"/>
    <mergeCell ref="G96:H96"/>
    <mergeCell ref="C97:D97"/>
    <mergeCell ref="G97:H97"/>
    <mergeCell ref="C98:D98"/>
    <mergeCell ref="G98:H98"/>
    <mergeCell ref="G99:H99"/>
    <mergeCell ref="C72:D72"/>
    <mergeCell ref="G72:H72"/>
    <mergeCell ref="C73:D73"/>
    <mergeCell ref="G73:H73"/>
    <mergeCell ref="C74:D74"/>
    <mergeCell ref="G74:H74"/>
    <mergeCell ref="G75:H75"/>
    <mergeCell ref="C79:D79"/>
    <mergeCell ref="C80:D80"/>
    <mergeCell ref="C75:D75"/>
    <mergeCell ref="C76:D76"/>
    <mergeCell ref="C77:D77"/>
    <mergeCell ref="C78:D78"/>
    <mergeCell ref="G78:H78"/>
    <mergeCell ref="G79:H79"/>
    <mergeCell ref="G80:H80"/>
    <mergeCell ref="G81:H81"/>
    <mergeCell ref="B80:B81"/>
    <mergeCell ref="C81:D81"/>
    <mergeCell ref="B83:K84"/>
    <mergeCell ref="B87:K88"/>
    <mergeCell ref="B90:E90"/>
    <mergeCell ref="G90:H90"/>
    <mergeCell ref="G91:H91"/>
    <mergeCell ref="G94:H94"/>
    <mergeCell ref="G95:H95"/>
    <mergeCell ref="C99:D99"/>
    <mergeCell ref="C100:D100"/>
    <mergeCell ref="C101:D101"/>
    <mergeCell ref="B102:B103"/>
    <mergeCell ref="C102:D102"/>
    <mergeCell ref="C103:D103"/>
    <mergeCell ref="G100:H100"/>
    <mergeCell ref="G101:H101"/>
    <mergeCell ref="G102:H102"/>
    <mergeCell ref="G103:H103"/>
    <mergeCell ref="B105:K106"/>
    <mergeCell ref="B109:K110"/>
    <mergeCell ref="G112:H112"/>
    <mergeCell ref="C144:D144"/>
    <mergeCell ref="C145:D145"/>
    <mergeCell ref="B146:B147"/>
    <mergeCell ref="C146:D146"/>
    <mergeCell ref="C147:D147"/>
    <mergeCell ref="C137:D137"/>
    <mergeCell ref="C138:D138"/>
    <mergeCell ref="C139:D139"/>
    <mergeCell ref="C140:D140"/>
    <mergeCell ref="C141:D141"/>
    <mergeCell ref="C142:D142"/>
    <mergeCell ref="C143:D143"/>
    <mergeCell ref="G115:H115"/>
    <mergeCell ref="G116:H116"/>
    <mergeCell ref="B112:E112"/>
    <mergeCell ref="C113:D113"/>
    <mergeCell ref="G113:H113"/>
    <mergeCell ref="C114:D114"/>
    <mergeCell ref="G114:H114"/>
    <mergeCell ref="C115:D115"/>
    <mergeCell ref="C116:D116"/>
    <mergeCell ref="C120:D120"/>
    <mergeCell ref="C121:D121"/>
    <mergeCell ref="C122:D122"/>
    <mergeCell ref="C123:D123"/>
    <mergeCell ref="B124:B125"/>
    <mergeCell ref="C124:D124"/>
    <mergeCell ref="C125:D125"/>
    <mergeCell ref="C117:D117"/>
    <mergeCell ref="G117:H117"/>
    <mergeCell ref="C118:D118"/>
    <mergeCell ref="G118:H118"/>
    <mergeCell ref="C119:D119"/>
    <mergeCell ref="G119:H119"/>
    <mergeCell ref="G120:H120"/>
    <mergeCell ref="G121:H121"/>
    <mergeCell ref="G122:H122"/>
    <mergeCell ref="G123:H123"/>
    <mergeCell ref="G124:H124"/>
    <mergeCell ref="G125:H125"/>
    <mergeCell ref="B127:K128"/>
    <mergeCell ref="B131:K132"/>
    <mergeCell ref="B134:E134"/>
    <mergeCell ref="G134:H134"/>
    <mergeCell ref="C135:D135"/>
    <mergeCell ref="G135:H135"/>
    <mergeCell ref="C136:D136"/>
    <mergeCell ref="G136:H136"/>
    <mergeCell ref="G137:H137"/>
    <mergeCell ref="G145:H145"/>
    <mergeCell ref="G146:H146"/>
    <mergeCell ref="G147:H147"/>
    <mergeCell ref="B149:K150"/>
    <mergeCell ref="G138:H138"/>
    <mergeCell ref="G139:H139"/>
    <mergeCell ref="G140:H140"/>
    <mergeCell ref="G141:H141"/>
    <mergeCell ref="G142:H142"/>
    <mergeCell ref="G143:H143"/>
    <mergeCell ref="G144:H14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